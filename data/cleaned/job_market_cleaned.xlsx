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ch\Desktop\"/>
    </mc:Choice>
  </mc:AlternateContent>
  <xr:revisionPtr revIDLastSave="0" documentId="13_ncr:1_{BDAF576A-1B33-4E1D-8750-FCBC322D8B82}" xr6:coauthVersionLast="47" xr6:coauthVersionMax="47" xr10:uidLastSave="{00000000-0000-0000-0000-000000000000}"/>
  <bookViews>
    <workbookView xWindow="-108" yWindow="-108" windowWidth="23256" windowHeight="12456" xr2:uid="{3223D582-489E-4822-AFD4-8105428E80F8}"/>
  </bookViews>
  <sheets>
    <sheet name="Job_market" sheetId="1" r:id="rId1"/>
  </sheets>
  <definedNames>
    <definedName name="_xlnm._FilterDatabase" localSheetId="0" hidden="1">Job_market!$A$1:$AH$743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1" l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67E68-A475-43BA-9C78-96E20615BFD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2C46C1B8-7139-48AA-9122-8F7772B069FD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<sst xmlns="http://schemas.openxmlformats.org/spreadsheetml/2006/main" count="9683" uniqueCount="1483">
  <si>
    <t>ID</t>
  </si>
  <si>
    <t>Job_Title</t>
  </si>
  <si>
    <t>Type_of_ownership</t>
  </si>
  <si>
    <t>Industry</t>
  </si>
  <si>
    <t>Sector</t>
  </si>
  <si>
    <t>Revenue</t>
  </si>
  <si>
    <t>company_txt</t>
  </si>
  <si>
    <t>Job_Location</t>
  </si>
  <si>
    <t>Age</t>
  </si>
  <si>
    <t>Python</t>
  </si>
  <si>
    <t>spark</t>
  </si>
  <si>
    <t>aws</t>
  </si>
  <si>
    <t>excel</t>
  </si>
  <si>
    <t>sql_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</si>
  <si>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</si>
  <si>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</si>
  <si>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</si>
  <si>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</si>
  <si>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</si>
  <si>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</si>
  <si>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</si>
  <si>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</si>
  <si>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</si>
  <si>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</si>
  <si>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</si>
  <si>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job_title_sim</t>
  </si>
  <si>
    <t>seniority_by_title</t>
  </si>
  <si>
    <t>Degree</t>
  </si>
  <si>
    <t>Data Scientist</t>
  </si>
  <si>
    <t>Aerospace &amp; Defense</t>
  </si>
  <si>
    <t>$50 to $100 million (USD)</t>
  </si>
  <si>
    <t>Tecolote Research</t>
  </si>
  <si>
    <t>NM</t>
  </si>
  <si>
    <t>data scientist</t>
  </si>
  <si>
    <t>M</t>
  </si>
  <si>
    <t>Healthcare Data Scientist</t>
  </si>
  <si>
    <t>Other Organization</t>
  </si>
  <si>
    <t>Health Care Services &amp; Hospitals</t>
  </si>
  <si>
    <t>Health Care</t>
  </si>
  <si>
    <t>$2 to $5 billion (USD)</t>
  </si>
  <si>
    <t>University of Maryland Medical System</t>
  </si>
  <si>
    <t>MD</t>
  </si>
  <si>
    <t>Security Services</t>
  </si>
  <si>
    <t>Business Services</t>
  </si>
  <si>
    <t>$100 to $500 million (USD)</t>
  </si>
  <si>
    <t>KnowBe4</t>
  </si>
  <si>
    <t>FL</t>
  </si>
  <si>
    <t>Government</t>
  </si>
  <si>
    <t>Energy</t>
  </si>
  <si>
    <t>Oil, Gas, Energy &amp; Utilities</t>
  </si>
  <si>
    <t>$500 million to $1 billion (USD)</t>
  </si>
  <si>
    <t>PNNL</t>
  </si>
  <si>
    <t>WA</t>
  </si>
  <si>
    <t>Advertising &amp; Marketing</t>
  </si>
  <si>
    <t>Unknown / Non-Applicable</t>
  </si>
  <si>
    <t>Affinity Solutions</t>
  </si>
  <si>
    <t>NY</t>
  </si>
  <si>
    <t>Real Estate</t>
  </si>
  <si>
    <t>$1 to $2 billion (USD)</t>
  </si>
  <si>
    <t>CyrusOne</t>
  </si>
  <si>
    <t>TX</t>
  </si>
  <si>
    <t>Banks &amp; Credit Unions</t>
  </si>
  <si>
    <t>Finance</t>
  </si>
  <si>
    <t>ClearOne Advantage</t>
  </si>
  <si>
    <t>Consulting</t>
  </si>
  <si>
    <t>$25 to $50 million (USD)</t>
  </si>
  <si>
    <t>Logic20/20</t>
  </si>
  <si>
    <t>CA</t>
  </si>
  <si>
    <t>Research Scientist</t>
  </si>
  <si>
    <t>Hospital</t>
  </si>
  <si>
    <t>Rochester Regional Health</t>
  </si>
  <si>
    <t>other scientist</t>
  </si>
  <si>
    <t>P</t>
  </si>
  <si>
    <t>Internet</t>
  </si>
  <si>
    <t>Information Technology</t>
  </si>
  <si>
    <t>&lt;intent&gt;</t>
  </si>
  <si>
    <t>Other Retail Stores</t>
  </si>
  <si>
    <t>Retail</t>
  </si>
  <si>
    <t>Wish</t>
  </si>
  <si>
    <t>Research &amp; Development</t>
  </si>
  <si>
    <t>ManTech</t>
  </si>
  <si>
    <t>VA</t>
  </si>
  <si>
    <t>Staff Data Scientist - Technology</t>
  </si>
  <si>
    <t>Department, Clothing, &amp; Shoe Stores</t>
  </si>
  <si>
    <t>$10+ billion (USD)</t>
  </si>
  <si>
    <t>Walmart</t>
  </si>
  <si>
    <t>Data Analyst</t>
  </si>
  <si>
    <t>Yesler</t>
  </si>
  <si>
    <t>analyst</t>
  </si>
  <si>
    <t>Biotech &amp; Pharmaceuticals</t>
  </si>
  <si>
    <t>Takeda Pharmaceuticals</t>
  </si>
  <si>
    <t>MA</t>
  </si>
  <si>
    <t>Data Engineer I</t>
  </si>
  <si>
    <t>Subsidiary or Business Segment</t>
  </si>
  <si>
    <t>Motion Picture Production &amp; Distribution</t>
  </si>
  <si>
    <t>Media</t>
  </si>
  <si>
    <t>Audible</t>
  </si>
  <si>
    <t>NJ</t>
  </si>
  <si>
    <t>data engineer</t>
  </si>
  <si>
    <t>Scientist I/II, Biology</t>
  </si>
  <si>
    <t>$1 to $5 million (USD)</t>
  </si>
  <si>
    <t>Blueprint Medicines</t>
  </si>
  <si>
    <t>Customer Data Scientist</t>
  </si>
  <si>
    <t>Enterprise Software &amp; Network Solutions</t>
  </si>
  <si>
    <t>h2o.ai</t>
  </si>
  <si>
    <t>Data Scientist - Health Data Analytics</t>
  </si>
  <si>
    <t>Nuna</t>
  </si>
  <si>
    <t>Nonprofit Organization</t>
  </si>
  <si>
    <t>Insurance Carriers</t>
  </si>
  <si>
    <t>Insurance</t>
  </si>
  <si>
    <t>Pinnacol Assurance</t>
  </si>
  <si>
    <t>CO</t>
  </si>
  <si>
    <t>Porch</t>
  </si>
  <si>
    <t>Senior Data Scientist / Machine Learning</t>
  </si>
  <si>
    <t>Insurance Agencies &amp; Brokerages</t>
  </si>
  <si>
    <t>Health IQ</t>
  </si>
  <si>
    <t>Data Scientist - Quantitative</t>
  </si>
  <si>
    <t>Logistics &amp; Supply Chain</t>
  </si>
  <si>
    <t>Transportation &amp; Logistics</t>
  </si>
  <si>
    <t>Truckstop.com</t>
  </si>
  <si>
    <t>IL</t>
  </si>
  <si>
    <t>$10 to $25 million (USD)</t>
  </si>
  <si>
    <t>SMC 3</t>
  </si>
  <si>
    <t>KY</t>
  </si>
  <si>
    <t>Novetta</t>
  </si>
  <si>
    <t>Digital Health Data Scientist</t>
  </si>
  <si>
    <t>Pfizer</t>
  </si>
  <si>
    <t>First Tech Federal Credit Union</t>
  </si>
  <si>
    <t>OR</t>
  </si>
  <si>
    <t>Associate Data Analyst</t>
  </si>
  <si>
    <t>$5 to $10 billion (USD)</t>
  </si>
  <si>
    <t>The Hanover Insurance Group</t>
  </si>
  <si>
    <t>Clinical Data Scientist</t>
  </si>
  <si>
    <t>CT</t>
  </si>
  <si>
    <t>Amrock</t>
  </si>
  <si>
    <t>MI</t>
  </si>
  <si>
    <t>Data Scientist / Machine Learning Expert</t>
  </si>
  <si>
    <t>Novartis</t>
  </si>
  <si>
    <t>Telecommunications Services</t>
  </si>
  <si>
    <t>Telecommunications</t>
  </si>
  <si>
    <t>Juniper Networks</t>
  </si>
  <si>
    <t>New England Biolabs</t>
  </si>
  <si>
    <t>Web Data Analyst</t>
  </si>
  <si>
    <t>IT Services</t>
  </si>
  <si>
    <t>Clarity Insights</t>
  </si>
  <si>
    <t>Computer Hardware &amp; Software</t>
  </si>
  <si>
    <t>Esri</t>
  </si>
  <si>
    <t>Systems &amp; Technology Research</t>
  </si>
  <si>
    <t>Senior Data Scientist</t>
  </si>
  <si>
    <t>Sartorius</t>
  </si>
  <si>
    <t>Data Engineer</t>
  </si>
  <si>
    <t>Lancer Insurance</t>
  </si>
  <si>
    <t>Sauce Labs</t>
  </si>
  <si>
    <t>Less than $1 million (USD)</t>
  </si>
  <si>
    <t>Persivia</t>
  </si>
  <si>
    <t>Data Scientist - Algorithms &amp; Inference</t>
  </si>
  <si>
    <t>Scientist</t>
  </si>
  <si>
    <t>Consumer Products Manufacturing</t>
  </si>
  <si>
    <t>Manufacturing</t>
  </si>
  <si>
    <t>Edgewell Personal Care</t>
  </si>
  <si>
    <t>Equity Residential</t>
  </si>
  <si>
    <t>BPA Services</t>
  </si>
  <si>
    <t>DC</t>
  </si>
  <si>
    <t>Lead Data Scientist</t>
  </si>
  <si>
    <t>Visa Inc.</t>
  </si>
  <si>
    <t>Intrado</t>
  </si>
  <si>
    <t>Spectral Scientist/Engineer</t>
  </si>
  <si>
    <t>Centauri</t>
  </si>
  <si>
    <t>OH</t>
  </si>
  <si>
    <t>College Hire - Data Scientist - Open to December 2019 Graduates</t>
  </si>
  <si>
    <t>Industrial Manufacturing</t>
  </si>
  <si>
    <t>Caterpillar</t>
  </si>
  <si>
    <t>Zimmerman Advertising</t>
  </si>
  <si>
    <t>Data Scientist, Office of Data Science</t>
  </si>
  <si>
    <t>Liberty Mutual Insurance</t>
  </si>
  <si>
    <t>Data Science Analyst</t>
  </si>
  <si>
    <t>Torch Technologies, Inc.</t>
  </si>
  <si>
    <t>AL</t>
  </si>
  <si>
    <t>Swiss Re</t>
  </si>
  <si>
    <t>Northrop Grumman</t>
  </si>
  <si>
    <t>Netskope</t>
  </si>
  <si>
    <t>1904labs</t>
  </si>
  <si>
    <t>MO</t>
  </si>
  <si>
    <t>Metals Brokers</t>
  </si>
  <si>
    <t>Mining &amp; Metals</t>
  </si>
  <si>
    <t>The David J. Joseph Company</t>
  </si>
  <si>
    <t>USEReady</t>
  </si>
  <si>
    <t>Senior Risk Data Scientist</t>
  </si>
  <si>
    <t>Financial Transaction Processing</t>
  </si>
  <si>
    <t>Bill.com</t>
  </si>
  <si>
    <t>Data Scientist in Artificial Intelligence Early Career</t>
  </si>
  <si>
    <t>Pacific Northwest National Laboratory</t>
  </si>
  <si>
    <t>Sporting Goods Stores</t>
  </si>
  <si>
    <t>DICK'S Sporting Goods - Corporate</t>
  </si>
  <si>
    <t>PA</t>
  </si>
  <si>
    <t>Berg Health</t>
  </si>
  <si>
    <t>Oversight Systems</t>
  </si>
  <si>
    <t>GA</t>
  </si>
  <si>
    <t>Data Scientist - Research</t>
  </si>
  <si>
    <t>C Space</t>
  </si>
  <si>
    <t>Staffing &amp; Outsourcing</t>
  </si>
  <si>
    <t>$5 to $10 million (USD)</t>
  </si>
  <si>
    <t>Numeric, LLC</t>
  </si>
  <si>
    <t>R&amp;D Data Analysis Scientist</t>
  </si>
  <si>
    <t>HP Inc.</t>
  </si>
  <si>
    <t>Analytics Consultant</t>
  </si>
  <si>
    <t>SpringML</t>
  </si>
  <si>
    <t>IN</t>
  </si>
  <si>
    <t>data analitics</t>
  </si>
  <si>
    <t>Director, Data Science</t>
  </si>
  <si>
    <t>Wholesale</t>
  </si>
  <si>
    <t>Grainger</t>
  </si>
  <si>
    <t>EAG Laboratories</t>
  </si>
  <si>
    <t>Data Scientist SR</t>
  </si>
  <si>
    <t>The Buffalo Group</t>
  </si>
  <si>
    <t>Mining</t>
  </si>
  <si>
    <t>Carmeuse</t>
  </si>
  <si>
    <t>R&amp;D Sr Data Scientist</t>
  </si>
  <si>
    <t>Customer Data Scientist/Sales Engineer (Bay</t>
  </si>
  <si>
    <t>GNS Healthcare</t>
  </si>
  <si>
    <t>Peraton</t>
  </si>
  <si>
    <t>Pactera</t>
  </si>
  <si>
    <t>Nurx</t>
  </si>
  <si>
    <t>Jr. Business Data Analyst</t>
  </si>
  <si>
    <t>webfx.com</t>
  </si>
  <si>
    <t>Johns Hopkins University Applied Physics Laboratory</t>
  </si>
  <si>
    <t>Productive Edge</t>
  </si>
  <si>
    <t>Excella Consulting</t>
  </si>
  <si>
    <t>Gensco</t>
  </si>
  <si>
    <t>goTRG</t>
  </si>
  <si>
    <t>Data Management Specialist</t>
  </si>
  <si>
    <t>NMR Consulting</t>
  </si>
  <si>
    <t>E-Commerce Data Analyst</t>
  </si>
  <si>
    <t>iSeatz</t>
  </si>
  <si>
    <t>LA</t>
  </si>
  <si>
    <t>Sr. Scientist II</t>
  </si>
  <si>
    <t>Nektar Therapeutics</t>
  </si>
  <si>
    <t>Insurance Data Scientist</t>
  </si>
  <si>
    <t>Financial Analytics &amp; Research</t>
  </si>
  <si>
    <t>TransUnion</t>
  </si>
  <si>
    <t>Data Modeler</t>
  </si>
  <si>
    <t>IT Concepts</t>
  </si>
  <si>
    <t>data modeler</t>
  </si>
  <si>
    <t>Data Analyst / Scientist</t>
  </si>
  <si>
    <t>Scientific Research Corporation</t>
  </si>
  <si>
    <t>General Dynamics Information Technology</t>
  </si>
  <si>
    <t>Federal Agencies</t>
  </si>
  <si>
    <t>MITRE</t>
  </si>
  <si>
    <t>DentaQuest</t>
  </si>
  <si>
    <t>WI</t>
  </si>
  <si>
    <t>Redjack</t>
  </si>
  <si>
    <t>7Park Data</t>
  </si>
  <si>
    <t>Rapid Response Monitoring</t>
  </si>
  <si>
    <t>Data Scientist, Rice University</t>
  </si>
  <si>
    <t>Education Training Services</t>
  </si>
  <si>
    <t>Education</t>
  </si>
  <si>
    <t>Trilogy Ed</t>
  </si>
  <si>
    <t>Gallup</t>
  </si>
  <si>
    <t>CapTech</t>
  </si>
  <si>
    <t>NC</t>
  </si>
  <si>
    <t>Transportation Equipment Manufacturing</t>
  </si>
  <si>
    <t>American Axle &amp; Manufacturing</t>
  </si>
  <si>
    <t>Financial Data Analyst</t>
  </si>
  <si>
    <t>CentralReach</t>
  </si>
  <si>
    <t>Senior Data Analyst</t>
  </si>
  <si>
    <t>Integrate</t>
  </si>
  <si>
    <t>AZ</t>
  </si>
  <si>
    <t>Boys Town Hospital</t>
  </si>
  <si>
    <t>NE</t>
  </si>
  <si>
    <t>Demandbase</t>
  </si>
  <si>
    <t>Sapphire Digital</t>
  </si>
  <si>
    <t>Formation</t>
  </si>
  <si>
    <t>Autodesk</t>
  </si>
  <si>
    <t>Ag Data Scientist</t>
  </si>
  <si>
    <t>Farm Support Services</t>
  </si>
  <si>
    <t>Agriculture &amp; Forestry</t>
  </si>
  <si>
    <t>Beck's Hybrids</t>
  </si>
  <si>
    <t>DrFirst</t>
  </si>
  <si>
    <t>Object Partners</t>
  </si>
  <si>
    <t>MN</t>
  </si>
  <si>
    <t>Data Scientist II</t>
  </si>
  <si>
    <t>L.A. Care Health Plan</t>
  </si>
  <si>
    <t>Senior Data Engineer</t>
  </si>
  <si>
    <t>Red Ventures</t>
  </si>
  <si>
    <t>Quick Base</t>
  </si>
  <si>
    <t>TV Broadcast &amp; Cable Networks</t>
  </si>
  <si>
    <t>The E.W. Scripps Company</t>
  </si>
  <si>
    <t>Upside Business Travel</t>
  </si>
  <si>
    <t>Synagro</t>
  </si>
  <si>
    <t>Project Scientist</t>
  </si>
  <si>
    <t>Architectural &amp; Engineering Services</t>
  </si>
  <si>
    <t>Alliance Source Testing</t>
  </si>
  <si>
    <t>Accuride International</t>
  </si>
  <si>
    <t>Data Analytics Manager</t>
  </si>
  <si>
    <t>Full Potential Solutions</t>
  </si>
  <si>
    <t>Data scientist project manager</t>
  </si>
  <si>
    <t>Senior Machine Learning (ML) Engineer / Data Scientist - Cyber Security Analytics</t>
  </si>
  <si>
    <t>Maven Wave Partners</t>
  </si>
  <si>
    <t>Brokerage Services</t>
  </si>
  <si>
    <t>First Command Financial Services, Inc.</t>
  </si>
  <si>
    <t>Associate Scientist</t>
  </si>
  <si>
    <t>Pharmavite</t>
  </si>
  <si>
    <t>Scientist 2, QC Viral Vector</t>
  </si>
  <si>
    <t>BioMarin Pharmaceutical</t>
  </si>
  <si>
    <t>Machine Learning Engineer</t>
  </si>
  <si>
    <t>Stratagem Group</t>
  </si>
  <si>
    <t>machine learning engineer</t>
  </si>
  <si>
    <t>Data Scientist/ML Engineer</t>
  </si>
  <si>
    <t>PA Consulting</t>
  </si>
  <si>
    <t>Gridiron IT</t>
  </si>
  <si>
    <t>Sr. Data Scientist</t>
  </si>
  <si>
    <t>Travel Agencies</t>
  </si>
  <si>
    <t>Travel &amp; Tourism</t>
  </si>
  <si>
    <t>Evolve Vacation Rental</t>
  </si>
  <si>
    <t>Data Engineer 4 - Contract</t>
  </si>
  <si>
    <t>Religious Organizations</t>
  </si>
  <si>
    <t>Non-Profit</t>
  </si>
  <si>
    <t>The Church of Jesus Christ of Latter-day Saints</t>
  </si>
  <si>
    <t>UT</t>
  </si>
  <si>
    <t>Data Analyst - Asset Management</t>
  </si>
  <si>
    <t>Maximus Real Estate Partners</t>
  </si>
  <si>
    <t>Senior Research Scientist - Embedded System Development for DevOps</t>
  </si>
  <si>
    <t>College / University</t>
  </si>
  <si>
    <t>Colleges &amp; Universities</t>
  </si>
  <si>
    <t>Software Engineering Institute</t>
  </si>
  <si>
    <t>Data Scientist - Bioinformatics</t>
  </si>
  <si>
    <t>AVANADE</t>
  </si>
  <si>
    <t>Customer Data Scientist/Sales Engineer</t>
  </si>
  <si>
    <t>PatientPoint</t>
  </si>
  <si>
    <t>MongoDB Data Engineer II</t>
  </si>
  <si>
    <t>BlueCross BlueShield of Tennessee</t>
  </si>
  <si>
    <t>TN</t>
  </si>
  <si>
    <t>Senior Data Scientist Statistics</t>
  </si>
  <si>
    <t>Senior Spark Engineer (Data Science)</t>
  </si>
  <si>
    <t>KSM Consulting</t>
  </si>
  <si>
    <t>Cogo Labs</t>
  </si>
  <si>
    <t>BI &amp; Platform Analytics Manager</t>
  </si>
  <si>
    <t>Church &amp; Dwight</t>
  </si>
  <si>
    <t>MassMutual</t>
  </si>
  <si>
    <t>Sr. Data Scientist - Analytics, Personalized Healthcare (PHC)</t>
  </si>
  <si>
    <t>Genentech</t>
  </si>
  <si>
    <t>Pricipal Scientist Molecular and cellular biologist</t>
  </si>
  <si>
    <t>Data Scientist (Actuary, FSA or ASA)</t>
  </si>
  <si>
    <t>Legal &amp; General America</t>
  </si>
  <si>
    <t>Staff Data Scientist</t>
  </si>
  <si>
    <t>Western Digital</t>
  </si>
  <si>
    <t>Data Engineer 5 - Contract (Remote)</t>
  </si>
  <si>
    <t>Senior Scientist - Neuroscience</t>
  </si>
  <si>
    <t>Sunovion</t>
  </si>
  <si>
    <t>National Student Clearinghouse</t>
  </si>
  <si>
    <t>Medical Lab Scientist</t>
  </si>
  <si>
    <t>Tower Health</t>
  </si>
  <si>
    <t>Risk and Analytics IT, Data Scientist</t>
  </si>
  <si>
    <t>Investment Banking &amp; Asset Management</t>
  </si>
  <si>
    <t>State of Wisconsin Investment Board</t>
  </si>
  <si>
    <t>Scientist, Analytical Development</t>
  </si>
  <si>
    <t>Rubius Therapeutics</t>
  </si>
  <si>
    <t>Analytics Manager</t>
  </si>
  <si>
    <t>OneMagnify</t>
  </si>
  <si>
    <t>IZEA</t>
  </si>
  <si>
    <t>Digital Marketing &amp; ECommerce Data Analyst</t>
  </si>
  <si>
    <t>Vionic Group</t>
  </si>
  <si>
    <t>Sr. Scientist - Digital &amp; Image Analysis/Computational Pathology</t>
  </si>
  <si>
    <t>Dodge Data &amp; Analytics</t>
  </si>
  <si>
    <t>Principal Scientist - Immunologist</t>
  </si>
  <si>
    <t>Plymouth Rock Assurance</t>
  </si>
  <si>
    <t>Principal Data Scientist with over 10 years experience</t>
  </si>
  <si>
    <t>CA-One Tech Clou</t>
  </si>
  <si>
    <t>MED TECH/LAB SCIENTIST - LABORATORY</t>
  </si>
  <si>
    <t>Beebe Healthcare</t>
  </si>
  <si>
    <t>DE</t>
  </si>
  <si>
    <t>Sr. Scientist, Quantitative Translational Sciences</t>
  </si>
  <si>
    <t>Sr. Data Scientist II</t>
  </si>
  <si>
    <t>Argo Group US</t>
  </si>
  <si>
    <t>Excel / VBA / sql_ Data Analyst</t>
  </si>
  <si>
    <t>Associated Electric Cooperative</t>
  </si>
  <si>
    <t>Machine Learning Research Scientist</t>
  </si>
  <si>
    <t>VP, Data Science</t>
  </si>
  <si>
    <t>Lending</t>
  </si>
  <si>
    <t>PennyMac</t>
  </si>
  <si>
    <t>Zest AI</t>
  </si>
  <si>
    <t>Radar Data Analyst</t>
  </si>
  <si>
    <t>DECISIVE ANALYTICS Corporation</t>
  </si>
  <si>
    <t>PL Actuarial-Lead Data Scientist</t>
  </si>
  <si>
    <t>PV Scientist</t>
  </si>
  <si>
    <t>Karyopharm Therapeutics Inc.</t>
  </si>
  <si>
    <t>Senior Data &amp; Machine Learning Scientist</t>
  </si>
  <si>
    <t>Tempus Labs</t>
  </si>
  <si>
    <t>Principal Data Scientist (Computational Chemistry)</t>
  </si>
  <si>
    <t>Recursion Pharmaceuticals</t>
  </si>
  <si>
    <t>P2 Energy Solutions</t>
  </si>
  <si>
    <t>Principal Scientist, Chemistry &amp; Immunology</t>
  </si>
  <si>
    <t>Software Engineer - Data Visualization</t>
  </si>
  <si>
    <t>ClearEdge</t>
  </si>
  <si>
    <t>Scientist/Senior Scientist, Autoimmune</t>
  </si>
  <si>
    <t>Staff Machine Learning Engineer</t>
  </si>
  <si>
    <t>Tapjoy</t>
  </si>
  <si>
    <t>Principal Scientist, Hematology</t>
  </si>
  <si>
    <t>Lead Data Engineer</t>
  </si>
  <si>
    <t>Credit Sesame</t>
  </si>
  <si>
    <t>Marketing Data Analyst</t>
  </si>
  <si>
    <t>Gambling</t>
  </si>
  <si>
    <t>Arts, Entertainment &amp; Recreation</t>
  </si>
  <si>
    <t>San Manuel Casino</t>
  </si>
  <si>
    <t>Medical Laboratory Scientist</t>
  </si>
  <si>
    <t>Texas Health Huguley Hospital</t>
  </si>
  <si>
    <t>R&amp;D Specialist/ Food Scientist</t>
  </si>
  <si>
    <t>Food &amp; Beverage Manufacturing</t>
  </si>
  <si>
    <t>Teasdale Latin Foods</t>
  </si>
  <si>
    <t>Senior Research Scientist-Machine Learning</t>
  </si>
  <si>
    <t>Analytics Manager - Data Mart</t>
  </si>
  <si>
    <t>Central California Alliance for Health</t>
  </si>
  <si>
    <t>Sr. Data Engineer - Contract-to-Hire (Java)</t>
  </si>
  <si>
    <t>Gas Stations</t>
  </si>
  <si>
    <t>Pilot Flying J Travel Centers LLC</t>
  </si>
  <si>
    <t>MED TECH/LAB SCIENTIST- SOUTH COASTAL LAB</t>
  </si>
  <si>
    <t>Food Scientist - Developer</t>
  </si>
  <si>
    <t>Palermo's Pizza</t>
  </si>
  <si>
    <t>Staff Scientist-Downstream Process Development</t>
  </si>
  <si>
    <t>Advanced BioScience Laboratories</t>
  </si>
  <si>
    <t>Sr. Data Engineer</t>
  </si>
  <si>
    <t>Transportation Management</t>
  </si>
  <si>
    <t>Echo Global Logistics</t>
  </si>
  <si>
    <t>Lockheed Martin</t>
  </si>
  <si>
    <t>Senior Research Statistician- Data Scientist</t>
  </si>
  <si>
    <t>Acuity Insurance</t>
  </si>
  <si>
    <t>Business Data Analyst, sql_</t>
  </si>
  <si>
    <t>Fareportal</t>
  </si>
  <si>
    <t>Medical Technologist / Clinical Laboratory Scientist</t>
  </si>
  <si>
    <t>Veterans Affairs, Veterans Health Administration</t>
  </si>
  <si>
    <t>Credera</t>
  </si>
  <si>
    <t>Spectrum Communications and Consulting</t>
  </si>
  <si>
    <t>Video Games</t>
  </si>
  <si>
    <t>NCSOFT</t>
  </si>
  <si>
    <t>Associate Data Scientist/Computer Scientist</t>
  </si>
  <si>
    <t>Business Intelligence Analyst / Developer</t>
  </si>
  <si>
    <t>Trucking</t>
  </si>
  <si>
    <t>Dayton Freight Lines, Inc.</t>
  </si>
  <si>
    <t>Social Assistance</t>
  </si>
  <si>
    <t>Community Action Partnership of San Luis Obispo</t>
  </si>
  <si>
    <t>TrueAccord</t>
  </si>
  <si>
    <t>DRB Systems</t>
  </si>
  <si>
    <t>System and Data Analyst</t>
  </si>
  <si>
    <t>Corcentric</t>
  </si>
  <si>
    <t>U.Group</t>
  </si>
  <si>
    <t>Data &amp; Analytics Consultant (NYC)</t>
  </si>
  <si>
    <t>Systems Evolution Inc.</t>
  </si>
  <si>
    <t>Eventbrite</t>
  </si>
  <si>
    <t>Big Data Engineer - Chicago - Future Opportunity</t>
  </si>
  <si>
    <t>Centro</t>
  </si>
  <si>
    <t>comScore</t>
  </si>
  <si>
    <t>Survey Data Analyst</t>
  </si>
  <si>
    <t>SullivanCotter</t>
  </si>
  <si>
    <t>NPD</t>
  </si>
  <si>
    <t>Bakery Agency</t>
  </si>
  <si>
    <t>Lead Health Data Analyst - Front End</t>
  </si>
  <si>
    <t>Blue Cross &amp; Blue Shield of Rhode Island</t>
  </si>
  <si>
    <t>RI</t>
  </si>
  <si>
    <t>Boys Town</t>
  </si>
  <si>
    <t>Junior Data Analyst</t>
  </si>
  <si>
    <t>The HSC Health Care System</t>
  </si>
  <si>
    <t>sql_ Data Engineer</t>
  </si>
  <si>
    <t>Pro-Sphere Tek</t>
  </si>
  <si>
    <t>Ameritas Life Insurance Corp</t>
  </si>
  <si>
    <t>Genworth</t>
  </si>
  <si>
    <t>Sr. Data Scientist, Cyber-Security LT Contract</t>
  </si>
  <si>
    <t>Trace Data</t>
  </si>
  <si>
    <t>Insurance Financial Data Analyst</t>
  </si>
  <si>
    <t>Clearwater Analytics</t>
  </si>
  <si>
    <t>Tekvalley, Corp.</t>
  </si>
  <si>
    <t>BWX Technologies</t>
  </si>
  <si>
    <t>Data Engineer I - Azure</t>
  </si>
  <si>
    <t>Vermeer</t>
  </si>
  <si>
    <t>IA</t>
  </si>
  <si>
    <t>L&amp;T Infotech</t>
  </si>
  <si>
    <t>Information Security Data Analyst</t>
  </si>
  <si>
    <t>OceanFirst Financial</t>
  </si>
  <si>
    <t>Auctions &amp; Galleries</t>
  </si>
  <si>
    <t>Sotheby's</t>
  </si>
  <si>
    <t>Vanda Pharmaceuticals</t>
  </si>
  <si>
    <t>Data Scientist, Senior</t>
  </si>
  <si>
    <t>CK-12 Foundation</t>
  </si>
  <si>
    <t>CONSULTANTâ€“ DATA ANALYTICS GROUP</t>
  </si>
  <si>
    <t>Opinion Dynamics</t>
  </si>
  <si>
    <t>Applied Information Sciences</t>
  </si>
  <si>
    <t>Data Engineer, Data Engineering and Artifical Intelligence</t>
  </si>
  <si>
    <t>Staff Scientist</t>
  </si>
  <si>
    <t>WK Dickson</t>
  </si>
  <si>
    <t>SC</t>
  </si>
  <si>
    <t>Associate Scientist/Scientist, Process Analytical Technology - Small Molecule Analytical Chemistry</t>
  </si>
  <si>
    <t>Sr. Data Analyst</t>
  </si>
  <si>
    <t>Program/Data Analyst</t>
  </si>
  <si>
    <t>Senior Data Scientist: Causal &amp; Predictive analytics AI Innovation Lab</t>
  </si>
  <si>
    <t>Principal Data Engineer, Data Platform &amp; Insights</t>
  </si>
  <si>
    <t>RESEARCH SCIENTIST - BIOLOGICAL SAFETY</t>
  </si>
  <si>
    <t>Southwest Research Institute</t>
  </si>
  <si>
    <t>Data Operations Lead</t>
  </si>
  <si>
    <t>Mus</t>
  </si>
  <si>
    <t>Big Data Engineer</t>
  </si>
  <si>
    <t>The Integer Group</t>
  </si>
  <si>
    <t>Clinical Data Analyst</t>
  </si>
  <si>
    <t>Computational Chemist/Data Scientist</t>
  </si>
  <si>
    <t>Product Engineer â€“ Data Science</t>
  </si>
  <si>
    <t>Samba TV</t>
  </si>
  <si>
    <t>Market Data Analyst</t>
  </si>
  <si>
    <t>Telecommunications Manufacturing</t>
  </si>
  <si>
    <t>SV Microwave</t>
  </si>
  <si>
    <t>Staff Data Engineer</t>
  </si>
  <si>
    <t>Sumo Logic</t>
  </si>
  <si>
    <t>Associate Data Engineer</t>
  </si>
  <si>
    <t>EAB</t>
  </si>
  <si>
    <t>Brighthouse Financial</t>
  </si>
  <si>
    <t>Staff BI and Data Engineer</t>
  </si>
  <si>
    <t>Citadel Federal Credit Union</t>
  </si>
  <si>
    <t>CALIBRE Systems</t>
  </si>
  <si>
    <t>Director - Data, Privacy and AI Governance</t>
  </si>
  <si>
    <t>director</t>
  </si>
  <si>
    <t>Motorola Solutions</t>
  </si>
  <si>
    <t>Scientist Manufacturing - Kentucky BioProcessing</t>
  </si>
  <si>
    <t>Reynolds American</t>
  </si>
  <si>
    <t>Data Analytics Project Manager</t>
  </si>
  <si>
    <t>Consultant - Analytics Consulting</t>
  </si>
  <si>
    <t>Infosys</t>
  </si>
  <si>
    <t>Alignment Healthcare</t>
  </si>
  <si>
    <t>Senior Scientist (Neuroscience)</t>
  </si>
  <si>
    <t>Machine Learning Engineer - Regulatory</t>
  </si>
  <si>
    <t>Stock Exchanges</t>
  </si>
  <si>
    <t>Cboe Global Markets</t>
  </si>
  <si>
    <t>KS</t>
  </si>
  <si>
    <t>Guidepoint</t>
  </si>
  <si>
    <t>Scientist, Bacteriology</t>
  </si>
  <si>
    <t>Cerus Corporation</t>
  </si>
  <si>
    <t>Associate Director, Platform and DevOps- Data Engineering and Aritifical Intelligence</t>
  </si>
  <si>
    <t>Clinical Laboratory Scientist</t>
  </si>
  <si>
    <t>Vail Health</t>
  </si>
  <si>
    <t>Senior Data Scientist - R&amp;D Oncology</t>
  </si>
  <si>
    <t>AstraZeneca</t>
  </si>
  <si>
    <t>MathWorks</t>
  </si>
  <si>
    <t>MetroStar Systems</t>
  </si>
  <si>
    <t>Director II, Data Science - GRM Actuarial</t>
  </si>
  <si>
    <t>Scientist, Molecular/Cellular Biologist</t>
  </si>
  <si>
    <t>Audentes Therapeutics</t>
  </si>
  <si>
    <t>Scientist - Analytical Services</t>
  </si>
  <si>
    <t>Associate Data Analyst- Graduate Development Program</t>
  </si>
  <si>
    <t>National Interstate</t>
  </si>
  <si>
    <t>Moser Consulting</t>
  </si>
  <si>
    <t>Senior Insurance Data Scientist</t>
  </si>
  <si>
    <t>Senior Data Science Systems Engineer</t>
  </si>
  <si>
    <t>ENVIRONMENTAL ENGINEER/SCIENTIST</t>
  </si>
  <si>
    <t>Construction</t>
  </si>
  <si>
    <t>Construction, Repair &amp; Maintenance</t>
  </si>
  <si>
    <t>Mcphail Associates</t>
  </si>
  <si>
    <t>Senior Scientist - Regulatory Submissions</t>
  </si>
  <si>
    <t>Scientist - Biomarker and Flow Cytometry</t>
  </si>
  <si>
    <t>Crown Bioscience</t>
  </si>
  <si>
    <t>Revenue Analytics Manager</t>
  </si>
  <si>
    <t>HOVER</t>
  </si>
  <si>
    <t>Associate Scientist, LC/MS Biologics</t>
  </si>
  <si>
    <t>Q2 Solutions</t>
  </si>
  <si>
    <t>Sr. Scientist Method Development</t>
  </si>
  <si>
    <t>IT - Data Engineer II</t>
  </si>
  <si>
    <t>Arbella Insurance</t>
  </si>
  <si>
    <t>Research Scientist, Immunology - Cancer Biology</t>
  </si>
  <si>
    <t>Kronos Bi</t>
  </si>
  <si>
    <t>Project Scientist - Auton Lab, Robotics Institute</t>
  </si>
  <si>
    <t>Enterprise Architect, Data</t>
  </si>
  <si>
    <t>Senior Manager, Epidemiologic Data Scientist</t>
  </si>
  <si>
    <t>Corporate Risk Data Analyst (sql_ Based) - Milwaukee or</t>
  </si>
  <si>
    <t>Associated Banc-Corp</t>
  </si>
  <si>
    <t>Marketing Data Analyst, May 2020 Undergrad</t>
  </si>
  <si>
    <t>Genesys</t>
  </si>
  <si>
    <t>Moda Operandi</t>
  </si>
  <si>
    <t>Data Modeler - Data Solutions Engineer</t>
  </si>
  <si>
    <t>Associate Environmental Scientist - Wildlife Biologist</t>
  </si>
  <si>
    <t>QK</t>
  </si>
  <si>
    <t>Associate, Data Science, Internal Audit</t>
  </si>
  <si>
    <t>Santander</t>
  </si>
  <si>
    <t>Sr Data Engineer (Sr BI Developer)</t>
  </si>
  <si>
    <t>Tivity Health</t>
  </si>
  <si>
    <t>BRMi</t>
  </si>
  <si>
    <t>Senior LiDAR Data Scientist</t>
  </si>
  <si>
    <t>Luminar Technologies</t>
  </si>
  <si>
    <t>Salesforce Analytics Consultant</t>
  </si>
  <si>
    <t>Emtec, Inc.</t>
  </si>
  <si>
    <t>Technology-Minded, Data Professional Opportunities</t>
  </si>
  <si>
    <t>Veterans United Home Loans</t>
  </si>
  <si>
    <t>Praetorian</t>
  </si>
  <si>
    <t>Managing Data Scientist/ML Engineer</t>
  </si>
  <si>
    <t>Scientist, Pharmacometrics</t>
  </si>
  <si>
    <t>Agios Pharmaceuticals</t>
  </si>
  <si>
    <t>Staff Scientist- Upstream PD</t>
  </si>
  <si>
    <t>Scientist Manufacturing Pharma - Kentucky BioProcessing</t>
  </si>
  <si>
    <t>Lead Big Data Engineer</t>
  </si>
  <si>
    <t>Glassdoor</t>
  </si>
  <si>
    <t>Product Engineer â€“ Spatial Data Science and Statistical Analysis</t>
  </si>
  <si>
    <t>Sr Software Engineer (Data Scientist)</t>
  </si>
  <si>
    <t>Assurant</t>
  </si>
  <si>
    <t>Sr. Data Engineer (ETL Developer)</t>
  </si>
  <si>
    <t>F&amp;G</t>
  </si>
  <si>
    <t>Senior Data Scientist Artificial Intelligence</t>
  </si>
  <si>
    <t>Analytics - Business Assurance Data Analyst</t>
  </si>
  <si>
    <t>GreatAmerica Financial Services</t>
  </si>
  <si>
    <t>Associate Director/Director, Safety Scientist</t>
  </si>
  <si>
    <t>Acceleron Pharma</t>
  </si>
  <si>
    <t>Senior Scientist, Cell Pharmacology/Assay Development</t>
  </si>
  <si>
    <t>Data Analyst Senior</t>
  </si>
  <si>
    <t>AmeriHealth Caritas</t>
  </si>
  <si>
    <t>Lead Data Engineer (Python)</t>
  </si>
  <si>
    <t>Strategic Employment Partners</t>
  </si>
  <si>
    <t>Senior Data Scientist 4 Artificial Intelligence</t>
  </si>
  <si>
    <t>Medical Lab Scientist - MLT</t>
  </si>
  <si>
    <t>Catholic Health Initiatives</t>
  </si>
  <si>
    <t>Senior Operations Data Analyst, Call Center Operations</t>
  </si>
  <si>
    <t>FLEETCOR</t>
  </si>
  <si>
    <t>Director II, Data Science - GRS Predictive Analytics</t>
  </si>
  <si>
    <t>RESEARCH COMPUTER SCIENTIST - RESEARCH ENGINEER - SR. COMPUTER SCIENTIST - SOFTWARE DEVELOPMENT</t>
  </si>
  <si>
    <t>Geospatial Software Developer and Data Scientist</t>
  </si>
  <si>
    <t>Applied Research Laboratories</t>
  </si>
  <si>
    <t>Senior Scientist - Toxicologist - Product Integrity (Stewardship)</t>
  </si>
  <si>
    <t>Systems Engineer II - Data Analyst</t>
  </si>
  <si>
    <t>Raytheon</t>
  </si>
  <si>
    <t>Senior Research Analytical Scientist-Non-Targeted Analysis</t>
  </si>
  <si>
    <t>RTI International</t>
  </si>
  <si>
    <t>Director Data Science</t>
  </si>
  <si>
    <t>TRANZACT</t>
  </si>
  <si>
    <t>Sr Data Analyst - IT</t>
  </si>
  <si>
    <t>United BioSource</t>
  </si>
  <si>
    <t>Figure Eight</t>
  </si>
  <si>
    <t>Associate Machine Learning Engineer / Data Scientist May 2020 Undergrad</t>
  </si>
  <si>
    <t>Senior Scientist - Biostatistician</t>
  </si>
  <si>
    <t>Royce Geospatial</t>
  </si>
  <si>
    <t>Citi</t>
  </si>
  <si>
    <t>Principal Machine Learning Scientist</t>
  </si>
  <si>
    <t>Sage Intacct</t>
  </si>
  <si>
    <t>Scale AI</t>
  </si>
  <si>
    <t>Change Healthcare</t>
  </si>
  <si>
    <t>MZ</t>
  </si>
  <si>
    <t>HG Insights</t>
  </si>
  <si>
    <t>1-800-FLOWERS.COM, Inc.</t>
  </si>
  <si>
    <t>CBS Interactive</t>
  </si>
  <si>
    <t>Samsung Research America</t>
  </si>
  <si>
    <t>Accounting</t>
  </si>
  <si>
    <t>Accounting &amp; Legal</t>
  </si>
  <si>
    <t>Lorven Technologies Inc</t>
  </si>
  <si>
    <t>CareDx</t>
  </si>
  <si>
    <t>Serigor Inc.</t>
  </si>
  <si>
    <t>Leidos</t>
  </si>
  <si>
    <t>Data Analyst, Performance Partnership</t>
  </si>
  <si>
    <t>Health Care Products Manufacturing</t>
  </si>
  <si>
    <t>Beckman Coulter Diagnostics</t>
  </si>
  <si>
    <t>IHS Markit</t>
  </si>
  <si>
    <t>ALI</t>
  </si>
  <si>
    <t>Health, Beauty, &amp; Fitness</t>
  </si>
  <si>
    <t>Consumer Services</t>
  </si>
  <si>
    <t>e-IT Professionals Corp.</t>
  </si>
  <si>
    <t>TechProjects</t>
  </si>
  <si>
    <t>Biz2Credit Inc</t>
  </si>
  <si>
    <t>PeoplesBank</t>
  </si>
  <si>
    <t>Data Scientist Manager</t>
  </si>
  <si>
    <t>Capgemini</t>
  </si>
  <si>
    <t>GNY Insurance Companies</t>
  </si>
  <si>
    <t>Conch Technologies, Inc</t>
  </si>
  <si>
    <t>Medidata Solutions</t>
  </si>
  <si>
    <t>Software Data Engineer - College</t>
  </si>
  <si>
    <t>Senior Data Scientist - Algorithms</t>
  </si>
  <si>
    <t>Quartet Health</t>
  </si>
  <si>
    <t>School / School District</t>
  </si>
  <si>
    <t>Success Academy Charter Schools</t>
  </si>
  <si>
    <t>AXION Healthcare Solutions</t>
  </si>
  <si>
    <t>ExecOnline</t>
  </si>
  <si>
    <t>Mteq</t>
  </si>
  <si>
    <t>Senior Data Scientist Oncology</t>
  </si>
  <si>
    <t>Brillient</t>
  </si>
  <si>
    <t>Entefy</t>
  </si>
  <si>
    <t>Trace3</t>
  </si>
  <si>
    <t>Principal Data Scientist</t>
  </si>
  <si>
    <t>Saama Technologies Inc</t>
  </si>
  <si>
    <t>Data Scientist - Alpha Insights</t>
  </si>
  <si>
    <t>Two Sigma</t>
  </si>
  <si>
    <t>Associate Principal Scientist, Pharmacogenomics</t>
  </si>
  <si>
    <t>Data Scientist - Systems Engineering</t>
  </si>
  <si>
    <t>Consumer Product Rental</t>
  </si>
  <si>
    <t>Strategic Financial Solutions</t>
  </si>
  <si>
    <t>Remedy BPCI Partners, LLC.</t>
  </si>
  <si>
    <t>The Climate Corporation</t>
  </si>
  <si>
    <t>Crossix Solutions</t>
  </si>
  <si>
    <t>Data Engineer - Consultant (Charlotte Based)</t>
  </si>
  <si>
    <t>Data Analyst 1, full-time contract worker for up to 12 months</t>
  </si>
  <si>
    <t>Scientist, Immuno-Oncology</t>
  </si>
  <si>
    <t>GSK</t>
  </si>
  <si>
    <t>Factual</t>
  </si>
  <si>
    <t>Products Data Analyst II</t>
  </si>
  <si>
    <t>TriNet</t>
  </si>
  <si>
    <t>Lead Data Analyst</t>
  </si>
  <si>
    <t>Signpost</t>
  </si>
  <si>
    <t>Data Science Engineer - Mobile</t>
  </si>
  <si>
    <t>Adobe</t>
  </si>
  <si>
    <t>Equian LLC</t>
  </si>
  <si>
    <t>Information Builders</t>
  </si>
  <si>
    <t>Sr Expert Data Science, Advanced Visual Analytics (Associate level)</t>
  </si>
  <si>
    <t>IT Associate Data Analyst</t>
  </si>
  <si>
    <t>Greenway Health</t>
  </si>
  <si>
    <t>Business Data Analyst</t>
  </si>
  <si>
    <t>Data Scientist - Sales</t>
  </si>
  <si>
    <t>Confluent</t>
  </si>
  <si>
    <t>Life360</t>
  </si>
  <si>
    <t>Principal, Data Science - Advanced Analytics</t>
  </si>
  <si>
    <t>IQVIA</t>
  </si>
  <si>
    <t>Data Science Project Manager</t>
  </si>
  <si>
    <t>Sr Scientist, Immuno-Oncology - Oncology</t>
  </si>
  <si>
    <t>Research Scientist â€“ Security and Privacy</t>
  </si>
  <si>
    <t>Riverside Research Institute</t>
  </si>
  <si>
    <t>Data Science Manager</t>
  </si>
  <si>
    <t>Data Analyst 2 (Missionary Department)</t>
  </si>
  <si>
    <t>Supply Chain Data Analyst</t>
  </si>
  <si>
    <t>Icon Health and Fitness</t>
  </si>
  <si>
    <t>Data Engineer - ETL</t>
  </si>
  <si>
    <t>Shipt</t>
  </si>
  <si>
    <t>Data Modeler (Analytical Systems)</t>
  </si>
  <si>
    <t>Data Scientist in Translational Medicine</t>
  </si>
  <si>
    <t>Product Manager/Data Evangelist</t>
  </si>
  <si>
    <t>Senior Data Scientist â€“ Visualization, Novartis AI Innovation Lab</t>
  </si>
  <si>
    <t>Senior Data Analyst/Scientist</t>
  </si>
  <si>
    <t>Scientist â€“ Cancer Discovery, Molecular Assay</t>
  </si>
  <si>
    <t>Monte Rosa Therapeutic</t>
  </si>
  <si>
    <t>IntraEdge</t>
  </si>
  <si>
    <t>Data Engineering Analyst</t>
  </si>
  <si>
    <t>COUNTRY Financial</t>
  </si>
  <si>
    <t>Manager of Data Science</t>
  </si>
  <si>
    <t>Software Engineer (Data Scientist/Software Engineer) - SISW - MG</t>
  </si>
  <si>
    <t>Mentor Graphics</t>
  </si>
  <si>
    <t>Maxar Technologies</t>
  </si>
  <si>
    <t>ICW Group</t>
  </si>
  <si>
    <t>Associate Research Scientist I (Protein Expression and Production)</t>
  </si>
  <si>
    <t>Exelixis</t>
  </si>
  <si>
    <t>Director, Precision Medicine Clinical Biomarker Scientist</t>
  </si>
  <si>
    <t>Senior Formulations Scientist II</t>
  </si>
  <si>
    <t>Grand Rounds</t>
  </si>
  <si>
    <t>SPINS, LLC</t>
  </si>
  <si>
    <t>Senior Quantitative Analyst</t>
  </si>
  <si>
    <t>DTCC</t>
  </si>
  <si>
    <t>Carilion Clinic</t>
  </si>
  <si>
    <t>DoubleVerify</t>
  </si>
  <si>
    <t>Research Scientist or Senior Research Scientist - Computer Vision</t>
  </si>
  <si>
    <t>Mitsubishi Electric Research Labs</t>
  </si>
  <si>
    <t>Data Analyst Chemist - Quality System Contractor</t>
  </si>
  <si>
    <t>Beauty &amp; Personal Accessories Stores</t>
  </si>
  <si>
    <t>Rodan and Fields, LLC</t>
  </si>
  <si>
    <t>Research Scientist / Principal Research Scientist - Multiphysical Systems</t>
  </si>
  <si>
    <t>Research Scientist, Machine Learning Department</t>
  </si>
  <si>
    <t>Foundational Community Supports Data Analyst</t>
  </si>
  <si>
    <t>DESC</t>
  </si>
  <si>
    <t>Senior Health Data Analyst, Star Ratings</t>
  </si>
  <si>
    <t>Johns Hopkins Health Care</t>
  </si>
  <si>
    <t>Principal Research Scientist/Team Lead, Medicinal Chemistry - Oncology</t>
  </si>
  <si>
    <t>Community Behavioral Health</t>
  </si>
  <si>
    <t>Senior Engineer, Data Management Engineering</t>
  </si>
  <si>
    <t>Quality Control Scientist III- Analytical Development</t>
  </si>
  <si>
    <t>Clinical Scientist, Clinical Development</t>
  </si>
  <si>
    <t>FORMA THERAPEUTICS</t>
  </si>
  <si>
    <t>Software Engineer Staff Scientist: Human Language Technologies</t>
  </si>
  <si>
    <t>Manager, Safety Scientist, Medical Safety &amp; Risk Management</t>
  </si>
  <si>
    <t>Assistant Director/Director, Office of Data Science</t>
  </si>
  <si>
    <t>Sr. Data Engineer | Big Data SaaS Pipeline</t>
  </si>
  <si>
    <t>Bridg</t>
  </si>
  <si>
    <t>Scientist - CVRM Metabolism - in vivo pharmacology</t>
  </si>
  <si>
    <t>Charter Spectrum</t>
  </si>
  <si>
    <t>CompQsoft</t>
  </si>
  <si>
    <t>Solugenix Corporation</t>
  </si>
  <si>
    <t>West Coast University</t>
  </si>
  <si>
    <t>Data Scientist (Warehouse Automation)</t>
  </si>
  <si>
    <t>SoftBank Robotics</t>
  </si>
  <si>
    <t>Jr. Data Scientist</t>
  </si>
  <si>
    <t>SkySync</t>
  </si>
  <si>
    <t>Data Architect / Data Modeler</t>
  </si>
  <si>
    <t>DatamanUSA, LLC</t>
  </si>
  <si>
    <t>Associate Scientist / Sr. Associate Scientist, Antibody Discovery</t>
  </si>
  <si>
    <t>23andMe</t>
  </si>
  <si>
    <t>Machine Learning Engineer (NLP)</t>
  </si>
  <si>
    <t>Fivestars</t>
  </si>
  <si>
    <t>Private</t>
  </si>
  <si>
    <t>Public</t>
  </si>
  <si>
    <t>53K-91K</t>
  </si>
  <si>
    <t>63K-112K</t>
  </si>
  <si>
    <t>80K-90K</t>
  </si>
  <si>
    <t>56K-97K</t>
  </si>
  <si>
    <t>86K-143K</t>
  </si>
  <si>
    <t>71K-119K</t>
  </si>
  <si>
    <t>54K-93K</t>
  </si>
  <si>
    <t>86K-142K</t>
  </si>
  <si>
    <t>38K-84K</t>
  </si>
  <si>
    <t>120K-160K</t>
  </si>
  <si>
    <t>126K-201K</t>
  </si>
  <si>
    <t>64K-106K</t>
  </si>
  <si>
    <t>106K-172K</t>
  </si>
  <si>
    <t>46K-85K</t>
  </si>
  <si>
    <t>83K-144K</t>
  </si>
  <si>
    <t>102K-190K</t>
  </si>
  <si>
    <t>67K-137K</t>
  </si>
  <si>
    <t>118K-189K</t>
  </si>
  <si>
    <t>110K-175K</t>
  </si>
  <si>
    <t>64K-111K</t>
  </si>
  <si>
    <t>81K-130K</t>
  </si>
  <si>
    <t>73K-119K</t>
  </si>
  <si>
    <t>86K-139K</t>
  </si>
  <si>
    <t>63K-105K</t>
  </si>
  <si>
    <t>109K-177K</t>
  </si>
  <si>
    <t>63K-110K</t>
  </si>
  <si>
    <t>75K-124K</t>
  </si>
  <si>
    <t>34K-61K</t>
  </si>
  <si>
    <t>72K-120K</t>
  </si>
  <si>
    <t>93K-149K</t>
  </si>
  <si>
    <t>85K-140K</t>
  </si>
  <si>
    <t>77K-135K</t>
  </si>
  <si>
    <t>82K-132K</t>
  </si>
  <si>
    <t>83K-137K</t>
  </si>
  <si>
    <t>115K-180K</t>
  </si>
  <si>
    <t>74K-138K</t>
  </si>
  <si>
    <t>64K-112K</t>
  </si>
  <si>
    <t>68K-129K</t>
  </si>
  <si>
    <t>52K-113K</t>
  </si>
  <si>
    <t>158K-211K</t>
  </si>
  <si>
    <t>20K-39K</t>
  </si>
  <si>
    <t>56K-117K</t>
  </si>
  <si>
    <t>63K-99K</t>
  </si>
  <si>
    <t>68K-114K</t>
  </si>
  <si>
    <t>41K-95K</t>
  </si>
  <si>
    <t>86K-144K</t>
  </si>
  <si>
    <t>80K-139K</t>
  </si>
  <si>
    <t>56K-95K</t>
  </si>
  <si>
    <t>120K-189K</t>
  </si>
  <si>
    <t>111K-176K</t>
  </si>
  <si>
    <t>84K-146K</t>
  </si>
  <si>
    <t>107K-172K</t>
  </si>
  <si>
    <t>49K-85K</t>
  </si>
  <si>
    <t>61K-109K</t>
  </si>
  <si>
    <t>88K-148K</t>
  </si>
  <si>
    <t>60K-99K</t>
  </si>
  <si>
    <t>41K-72K</t>
  </si>
  <si>
    <t>96K-161K</t>
  </si>
  <si>
    <t>65K-130K</t>
  </si>
  <si>
    <t>52K-81K</t>
  </si>
  <si>
    <t>139K-220K</t>
  </si>
  <si>
    <t>50K-102K</t>
  </si>
  <si>
    <t>85K-139K</t>
  </si>
  <si>
    <t>74K-122K</t>
  </si>
  <si>
    <t>99K-157K</t>
  </si>
  <si>
    <t>79K-222K</t>
  </si>
  <si>
    <t>57K-118K</t>
  </si>
  <si>
    <t>86K-141K</t>
  </si>
  <si>
    <t>94K-154K</t>
  </si>
  <si>
    <t>37K-76K</t>
  </si>
  <si>
    <t>100K-160K</t>
  </si>
  <si>
    <t>55K-100K</t>
  </si>
  <si>
    <t>60K-114K</t>
  </si>
  <si>
    <t>39K-68K</t>
  </si>
  <si>
    <t>64K-107K</t>
  </si>
  <si>
    <t>31K-65K</t>
  </si>
  <si>
    <t>34K-62K</t>
  </si>
  <si>
    <t>117K-231K</t>
  </si>
  <si>
    <t>79K-134K</t>
  </si>
  <si>
    <t>52K-93K</t>
  </si>
  <si>
    <t>55K-116K</t>
  </si>
  <si>
    <t>72K-123K</t>
  </si>
  <si>
    <t>74K-124K</t>
  </si>
  <si>
    <t>40K-73K</t>
  </si>
  <si>
    <t>102K-164K</t>
  </si>
  <si>
    <t>89K-153K</t>
  </si>
  <si>
    <t>61K-110K</t>
  </si>
  <si>
    <t>65K-110K</t>
  </si>
  <si>
    <t>68K-123K</t>
  </si>
  <si>
    <t>80K-129K</t>
  </si>
  <si>
    <t>39K-71K</t>
  </si>
  <si>
    <t>38K-85K</t>
  </si>
  <si>
    <t>121K-193K</t>
  </si>
  <si>
    <t>54K-102K</t>
  </si>
  <si>
    <t>102K-163K</t>
  </si>
  <si>
    <t>76K-140K</t>
  </si>
  <si>
    <t>60K-101K</t>
  </si>
  <si>
    <t>82K-133K</t>
  </si>
  <si>
    <t>65K-125K</t>
  </si>
  <si>
    <t>91K-148K</t>
  </si>
  <si>
    <t>95K-173K</t>
  </si>
  <si>
    <t>77K-124K</t>
  </si>
  <si>
    <t>80K-135K</t>
  </si>
  <si>
    <t>85K-159K</t>
  </si>
  <si>
    <t>43K-81K</t>
  </si>
  <si>
    <t>29K-50K</t>
  </si>
  <si>
    <t>26K-55K</t>
  </si>
  <si>
    <t>61K-118K</t>
  </si>
  <si>
    <t>60K-102K</t>
  </si>
  <si>
    <t>112K-182K</t>
  </si>
  <si>
    <t>51K-112K</t>
  </si>
  <si>
    <t>113K-223K</t>
  </si>
  <si>
    <t>72K-129K</t>
  </si>
  <si>
    <t>71K-123K</t>
  </si>
  <si>
    <t>80K-120K</t>
  </si>
  <si>
    <t>80K-130K</t>
  </si>
  <si>
    <t>59K-115K</t>
  </si>
  <si>
    <t>71K-136K</t>
  </si>
  <si>
    <t>81K-167K</t>
  </si>
  <si>
    <t>71K-204K</t>
  </si>
  <si>
    <t>75K-125K</t>
  </si>
  <si>
    <t>77K-136K</t>
  </si>
  <si>
    <t>74K-123K</t>
  </si>
  <si>
    <t>44K-78K</t>
  </si>
  <si>
    <t>65K-148K</t>
  </si>
  <si>
    <t>59K-110K</t>
  </si>
  <si>
    <t>85K-134K</t>
  </si>
  <si>
    <t>124K-204K</t>
  </si>
  <si>
    <t>131K-207K</t>
  </si>
  <si>
    <t>110K-174K</t>
  </si>
  <si>
    <t>52K-101K</t>
  </si>
  <si>
    <t>81K-133K</t>
  </si>
  <si>
    <t>132K-211K</t>
  </si>
  <si>
    <t>74K-140K</t>
  </si>
  <si>
    <t>100K-190K</t>
  </si>
  <si>
    <t>43K-80K</t>
  </si>
  <si>
    <t>91K-149K</t>
  </si>
  <si>
    <t>42K-82K</t>
  </si>
  <si>
    <t>116K-185K</t>
  </si>
  <si>
    <t>59K-116K</t>
  </si>
  <si>
    <t>48K-95K</t>
  </si>
  <si>
    <t>31K-72K</t>
  </si>
  <si>
    <t>105K-198K</t>
  </si>
  <si>
    <t>98K-182K</t>
  </si>
  <si>
    <t>73K-124K</t>
  </si>
  <si>
    <t>117K-206K</t>
  </si>
  <si>
    <t>111K-183K</t>
  </si>
  <si>
    <t>81K-159K</t>
  </si>
  <si>
    <t>83K-166K</t>
  </si>
  <si>
    <t>114K-182K</t>
  </si>
  <si>
    <t>42K-76K</t>
  </si>
  <si>
    <t>114K-179K</t>
  </si>
  <si>
    <t>60K-123K</t>
  </si>
  <si>
    <t>100K-166K</t>
  </si>
  <si>
    <t>108K-173K</t>
  </si>
  <si>
    <t>48K-93K</t>
  </si>
  <si>
    <t>54K-115K</t>
  </si>
  <si>
    <t>60K-127K</t>
  </si>
  <si>
    <t>90K-179K</t>
  </si>
  <si>
    <t>138K-224K</t>
  </si>
  <si>
    <t>35K-62K</t>
  </si>
  <si>
    <t>39K-66K</t>
  </si>
  <si>
    <t>42K-86K</t>
  </si>
  <si>
    <t>69K-127K</t>
  </si>
  <si>
    <t>40K-68K</t>
  </si>
  <si>
    <t>49K-113K</t>
  </si>
  <si>
    <t>75K-140K</t>
  </si>
  <si>
    <t>66K-112K</t>
  </si>
  <si>
    <t>76K-125K</t>
  </si>
  <si>
    <t>44K-86K</t>
  </si>
  <si>
    <t>53K-92K</t>
  </si>
  <si>
    <t>65K-120K</t>
  </si>
  <si>
    <t>60K-103K</t>
  </si>
  <si>
    <t>53K-105K</t>
  </si>
  <si>
    <t>33K-62K</t>
  </si>
  <si>
    <t>48K-90K</t>
  </si>
  <si>
    <t>34K-64K</t>
  </si>
  <si>
    <t>66K-111K</t>
  </si>
  <si>
    <t>91K-138K</t>
  </si>
  <si>
    <t>62K-114K</t>
  </si>
  <si>
    <t>71K-129K</t>
  </si>
  <si>
    <t>74K-119K</t>
  </si>
  <si>
    <t>55K-97K</t>
  </si>
  <si>
    <t>61K-106K</t>
  </si>
  <si>
    <t>127K-199K</t>
  </si>
  <si>
    <t>74K-126K</t>
  </si>
  <si>
    <t>33K-72K</t>
  </si>
  <si>
    <t>37K-63K</t>
  </si>
  <si>
    <t>67K-119K</t>
  </si>
  <si>
    <t>72K-117K</t>
  </si>
  <si>
    <t>78K-126K</t>
  </si>
  <si>
    <t>116K-194K</t>
  </si>
  <si>
    <t>83K-133K</t>
  </si>
  <si>
    <t>45K-82K</t>
  </si>
  <si>
    <t>83K-135K</t>
  </si>
  <si>
    <t>70K-122K</t>
  </si>
  <si>
    <t>70K-132K</t>
  </si>
  <si>
    <t>54K-101K</t>
  </si>
  <si>
    <t>68K-112K</t>
  </si>
  <si>
    <t>42K-74K</t>
  </si>
  <si>
    <t>95K-161K</t>
  </si>
  <si>
    <t>76K-126K</t>
  </si>
  <si>
    <t>108K-176K</t>
  </si>
  <si>
    <t>130K-208K</t>
  </si>
  <si>
    <t>37K-68K</t>
  </si>
  <si>
    <t>52K-99K</t>
  </si>
  <si>
    <t>105K-173K</t>
  </si>
  <si>
    <t>71K-134K</t>
  </si>
  <si>
    <t>39K-82K</t>
  </si>
  <si>
    <t>88K-162K</t>
  </si>
  <si>
    <t>55K-99K</t>
  </si>
  <si>
    <t>67K-117K</t>
  </si>
  <si>
    <t>92K-150K</t>
  </si>
  <si>
    <t>116K-209K</t>
  </si>
  <si>
    <t>38K-82K</t>
  </si>
  <si>
    <t>62K-119K</t>
  </si>
  <si>
    <t>84K-136K</t>
  </si>
  <si>
    <t>52K-89K</t>
  </si>
  <si>
    <t>65K-119K</t>
  </si>
  <si>
    <t>63K-101K</t>
  </si>
  <si>
    <t>127K-202K</t>
  </si>
  <si>
    <t>31K-57K</t>
  </si>
  <si>
    <t>75K-143K</t>
  </si>
  <si>
    <t>105K-194K</t>
  </si>
  <si>
    <t>45K-86K</t>
  </si>
  <si>
    <t>95K-154K</t>
  </si>
  <si>
    <t>80K-148K</t>
  </si>
  <si>
    <t>36K-62K</t>
  </si>
  <si>
    <t>50K-92K</t>
  </si>
  <si>
    <t>67K-135K</t>
  </si>
  <si>
    <t>42K-80K</t>
  </si>
  <si>
    <t>68K-139K</t>
  </si>
  <si>
    <t>34K-92K</t>
  </si>
  <si>
    <t>54K-71K</t>
  </si>
  <si>
    <t>65K-124K</t>
  </si>
  <si>
    <t>109K-200K</t>
  </si>
  <si>
    <t>61K-113K</t>
  </si>
  <si>
    <t>43K-86K</t>
  </si>
  <si>
    <t>74K-149K</t>
  </si>
  <si>
    <t>113K-196K</t>
  </si>
  <si>
    <t>97K-160K</t>
  </si>
  <si>
    <t>102K-172K</t>
  </si>
  <si>
    <t>108K-171K</t>
  </si>
  <si>
    <t>76K-142K</t>
  </si>
  <si>
    <t>202K-306K</t>
  </si>
  <si>
    <t>49K-97K</t>
  </si>
  <si>
    <t>65K-134K</t>
  </si>
  <si>
    <t>32K-59K</t>
  </si>
  <si>
    <t>87K-158K</t>
  </si>
  <si>
    <t>107K-173K</t>
  </si>
  <si>
    <t>56K-99K</t>
  </si>
  <si>
    <t>80K-155K</t>
  </si>
  <si>
    <t>43K-98K</t>
  </si>
  <si>
    <t>45K-78K</t>
  </si>
  <si>
    <t>44K-96K</t>
  </si>
  <si>
    <t>50K-110K</t>
  </si>
  <si>
    <t>61K-119K</t>
  </si>
  <si>
    <t>56K-91K</t>
  </si>
  <si>
    <t>101K-158K</t>
  </si>
  <si>
    <t>125K-210K</t>
  </si>
  <si>
    <t>43K-77K</t>
  </si>
  <si>
    <t>139K-221K</t>
  </si>
  <si>
    <t>78K-147K</t>
  </si>
  <si>
    <t>37K-66K</t>
  </si>
  <si>
    <t>38K-64K</t>
  </si>
  <si>
    <t>43K-82K</t>
  </si>
  <si>
    <t>93K-151K</t>
  </si>
  <si>
    <t>40K-101K</t>
  </si>
  <si>
    <t>97K-180K</t>
  </si>
  <si>
    <t>81K-134K</t>
  </si>
  <si>
    <t>84K-157K</t>
  </si>
  <si>
    <t>121K-203K</t>
  </si>
  <si>
    <t>52K-85K</t>
  </si>
  <si>
    <t>81K-140K</t>
  </si>
  <si>
    <t>83K-148K</t>
  </si>
  <si>
    <t>31K-55K</t>
  </si>
  <si>
    <t>102K-178K</t>
  </si>
  <si>
    <t>48K-85K</t>
  </si>
  <si>
    <t>66K-123K</t>
  </si>
  <si>
    <t>92K-146K</t>
  </si>
  <si>
    <t>150K-239K</t>
  </si>
  <si>
    <t>52K-91K</t>
  </si>
  <si>
    <t>47K-101K</t>
  </si>
  <si>
    <t>49K-76K</t>
  </si>
  <si>
    <t>43K-88K</t>
  </si>
  <si>
    <t>124K-199K</t>
  </si>
  <si>
    <t>97K-181K</t>
  </si>
  <si>
    <t>100K-173K</t>
  </si>
  <si>
    <t>53K-96K</t>
  </si>
  <si>
    <t>65K-96K</t>
  </si>
  <si>
    <t>75K-127K</t>
  </si>
  <si>
    <t>94K-139K</t>
  </si>
  <si>
    <t>176K-289K</t>
  </si>
  <si>
    <t>92K-149K</t>
  </si>
  <si>
    <t>118K-188K</t>
  </si>
  <si>
    <t>108K-146K</t>
  </si>
  <si>
    <t>65K-106K</t>
  </si>
  <si>
    <t>55K-98K</t>
  </si>
  <si>
    <t>94K-162K</t>
  </si>
  <si>
    <t>63K-120K</t>
  </si>
  <si>
    <t>126K-228K</t>
  </si>
  <si>
    <t>80K-134K</t>
  </si>
  <si>
    <t>85K-142K</t>
  </si>
  <si>
    <t>87K-140K</t>
  </si>
  <si>
    <t>76K-127K</t>
  </si>
  <si>
    <t>54K-92K</t>
  </si>
  <si>
    <t>61K-100K</t>
  </si>
  <si>
    <t>112K-179K</t>
  </si>
  <si>
    <t>63K-111K</t>
  </si>
  <si>
    <t>75K-126K</t>
  </si>
  <si>
    <t>110K-184K</t>
  </si>
  <si>
    <t>76K-145K</t>
  </si>
  <si>
    <t>70K-118K</t>
  </si>
  <si>
    <t>94K-153K</t>
  </si>
  <si>
    <t>150K-180K</t>
  </si>
  <si>
    <t>42K-77K</t>
  </si>
  <si>
    <t>47K-85K</t>
  </si>
  <si>
    <t>62K-112K</t>
  </si>
  <si>
    <t>64K-108K</t>
  </si>
  <si>
    <t>89K-144K</t>
  </si>
  <si>
    <t>55K-105K</t>
  </si>
  <si>
    <t>135K-211K</t>
  </si>
  <si>
    <t>57K-80K</t>
  </si>
  <si>
    <t>129K-215K</t>
  </si>
  <si>
    <t>63K-127K</t>
  </si>
  <si>
    <t>50K-89K</t>
  </si>
  <si>
    <t>71K-124K</t>
  </si>
  <si>
    <t>69K-121K</t>
  </si>
  <si>
    <t>150K-238K</t>
  </si>
  <si>
    <t>77K-132K</t>
  </si>
  <si>
    <t>59K-112K</t>
  </si>
  <si>
    <t>35K-65K</t>
  </si>
  <si>
    <t>79K-147K</t>
  </si>
  <si>
    <t>119K-187K</t>
  </si>
  <si>
    <t>90K-157K</t>
  </si>
  <si>
    <t>32K-62K</t>
  </si>
  <si>
    <t>116K-208K</t>
  </si>
  <si>
    <t>102K-165K</t>
  </si>
  <si>
    <t>91K-159K</t>
  </si>
  <si>
    <t>80K-133K</t>
  </si>
  <si>
    <t>39K-69K</t>
  </si>
  <si>
    <t>27K-48K</t>
  </si>
  <si>
    <t>36K-71K</t>
  </si>
  <si>
    <t>130K-206K</t>
  </si>
  <si>
    <t>99K-178K</t>
  </si>
  <si>
    <t>86K-137K</t>
  </si>
  <si>
    <t>37K-100K</t>
  </si>
  <si>
    <t>58K-111K</t>
  </si>
  <si>
    <t>72K-133K</t>
  </si>
  <si>
    <t>61K-126K</t>
  </si>
  <si>
    <t>95K-160K</t>
  </si>
  <si>
    <t>33K-61K</t>
  </si>
  <si>
    <t>69K-119K</t>
  </si>
  <si>
    <t>67K-127K</t>
  </si>
  <si>
    <t>66K-117K</t>
  </si>
  <si>
    <t>50K-98K</t>
  </si>
  <si>
    <t>90K-153K</t>
  </si>
  <si>
    <t>42K-79K</t>
  </si>
  <si>
    <t>84K-153K</t>
  </si>
  <si>
    <t>44K-73K</t>
  </si>
  <si>
    <t>40K-87K</t>
  </si>
  <si>
    <t>72K-142K</t>
  </si>
  <si>
    <t>74K-137K</t>
  </si>
  <si>
    <t>57K-109K</t>
  </si>
  <si>
    <t>136K-208K</t>
  </si>
  <si>
    <t>171K-272K</t>
  </si>
  <si>
    <t>65K-126K</t>
  </si>
  <si>
    <t>118K-228K</t>
  </si>
  <si>
    <t>113K-182K</t>
  </si>
  <si>
    <t>58K-104K</t>
  </si>
  <si>
    <t>58K-108K</t>
  </si>
  <si>
    <t>81K-161K</t>
  </si>
  <si>
    <t>115K-220K</t>
  </si>
  <si>
    <t>71K-144K</t>
  </si>
  <si>
    <t>32K-57K</t>
  </si>
  <si>
    <t>79K-136K</t>
  </si>
  <si>
    <t>48K-113K</t>
  </si>
  <si>
    <t>68K-125K</t>
  </si>
  <si>
    <t>39K-67K</t>
  </si>
  <si>
    <t>71K-135K</t>
  </si>
  <si>
    <t>61K-123K</t>
  </si>
  <si>
    <t>87K-141K</t>
  </si>
  <si>
    <t>71K-121K</t>
  </si>
  <si>
    <t>72K-121K</t>
  </si>
  <si>
    <t>51K-88K</t>
  </si>
  <si>
    <t>101K-141K</t>
  </si>
  <si>
    <t>79K-127K</t>
  </si>
  <si>
    <t>81K-132K</t>
  </si>
  <si>
    <t>65K-113K</t>
  </si>
  <si>
    <t>59K-125K</t>
  </si>
  <si>
    <t>80K-142K</t>
  </si>
  <si>
    <t>62K-113K</t>
  </si>
  <si>
    <t>Job_City</t>
  </si>
  <si>
    <t>Albuquerque</t>
  </si>
  <si>
    <t xml:space="preserve"> NM</t>
  </si>
  <si>
    <t>Linthicum</t>
  </si>
  <si>
    <t xml:space="preserve"> MD</t>
  </si>
  <si>
    <t>Clearwater</t>
  </si>
  <si>
    <t xml:space="preserve"> FL</t>
  </si>
  <si>
    <t>Richland</t>
  </si>
  <si>
    <t xml:space="preserve"> WA</t>
  </si>
  <si>
    <t>New York</t>
  </si>
  <si>
    <t xml:space="preserve"> NY</t>
  </si>
  <si>
    <t>Dallas</t>
  </si>
  <si>
    <t xml:space="preserve"> TX</t>
  </si>
  <si>
    <t>Baltimore</t>
  </si>
  <si>
    <t>San Jose</t>
  </si>
  <si>
    <t xml:space="preserve"> CA</t>
  </si>
  <si>
    <t>Rochester</t>
  </si>
  <si>
    <t>Chantilly</t>
  </si>
  <si>
    <t xml:space="preserve"> VA</t>
  </si>
  <si>
    <t>Plano</t>
  </si>
  <si>
    <t>Seattle</t>
  </si>
  <si>
    <t>Cambridge</t>
  </si>
  <si>
    <t xml:space="preserve"> MA</t>
  </si>
  <si>
    <t>Newark</t>
  </si>
  <si>
    <t xml:space="preserve"> NJ</t>
  </si>
  <si>
    <t>Mountain View</t>
  </si>
  <si>
    <t>San Francisco</t>
  </si>
  <si>
    <t>Denver</t>
  </si>
  <si>
    <t xml:space="preserve"> CO</t>
  </si>
  <si>
    <t>Chicago</t>
  </si>
  <si>
    <t xml:space="preserve"> IL</t>
  </si>
  <si>
    <t>Louisville</t>
  </si>
  <si>
    <t xml:space="preserve"> KY</t>
  </si>
  <si>
    <t>Herndon</t>
  </si>
  <si>
    <t>Hillsboro</t>
  </si>
  <si>
    <t xml:space="preserve"> OR</t>
  </si>
  <si>
    <t>Worcester</t>
  </si>
  <si>
    <t>Groton</t>
  </si>
  <si>
    <t xml:space="preserve"> CT</t>
  </si>
  <si>
    <t>Detroit</t>
  </si>
  <si>
    <t xml:space="preserve"> MI</t>
  </si>
  <si>
    <t>Sunnyvale</t>
  </si>
  <si>
    <t>Ipswich</t>
  </si>
  <si>
    <t>Redlands</t>
  </si>
  <si>
    <t>Woburn</t>
  </si>
  <si>
    <t>Fremont</t>
  </si>
  <si>
    <t>Long Beach</t>
  </si>
  <si>
    <t>Marlborough</t>
  </si>
  <si>
    <t>Allendale</t>
  </si>
  <si>
    <t>Washington</t>
  </si>
  <si>
    <t xml:space="preserve"> DC</t>
  </si>
  <si>
    <t>Bellevue</t>
  </si>
  <si>
    <t>Longmont</t>
  </si>
  <si>
    <t>Beavercreek</t>
  </si>
  <si>
    <t xml:space="preserve"> OH</t>
  </si>
  <si>
    <t>Peoria</t>
  </si>
  <si>
    <t>Fort Lauderdale</t>
  </si>
  <si>
    <t>Boston</t>
  </si>
  <si>
    <t>Huntsville</t>
  </si>
  <si>
    <t xml:space="preserve"> AL</t>
  </si>
  <si>
    <t>Armonk</t>
  </si>
  <si>
    <t>San Diego</t>
  </si>
  <si>
    <t>Saint Louis</t>
  </si>
  <si>
    <t xml:space="preserve"> MO</t>
  </si>
  <si>
    <t>Cincinnati</t>
  </si>
  <si>
    <t>Palo Alto</t>
  </si>
  <si>
    <t>Coraopolis</t>
  </si>
  <si>
    <t xml:space="preserve"> PA</t>
  </si>
  <si>
    <t>Framingham</t>
  </si>
  <si>
    <t>Atlanta</t>
  </si>
  <si>
    <t xml:space="preserve"> GA</t>
  </si>
  <si>
    <t>Philadelphia</t>
  </si>
  <si>
    <t>Vancouver</t>
  </si>
  <si>
    <t>Indianapolis</t>
  </si>
  <si>
    <t xml:space="preserve"> IN</t>
  </si>
  <si>
    <t>Lake Forest</t>
  </si>
  <si>
    <t>Maryland Heights</t>
  </si>
  <si>
    <t>Charlottesville</t>
  </si>
  <si>
    <t>Pittsburgh</t>
  </si>
  <si>
    <t>Harrisburg</t>
  </si>
  <si>
    <t>Laurel</t>
  </si>
  <si>
    <t>Arlington</t>
  </si>
  <si>
    <t>Tacoma</t>
  </si>
  <si>
    <t>Miami</t>
  </si>
  <si>
    <t>New Orleans</t>
  </si>
  <si>
    <t xml:space="preserve"> LA</t>
  </si>
  <si>
    <t>Landover</t>
  </si>
  <si>
    <t>Patuxent River</t>
  </si>
  <si>
    <t>Suitland</t>
  </si>
  <si>
    <t>McLean</t>
  </si>
  <si>
    <t>Fort Belvoir</t>
  </si>
  <si>
    <t>Milwaukee</t>
  </si>
  <si>
    <t xml:space="preserve"> WI</t>
  </si>
  <si>
    <t>Silver Spring</t>
  </si>
  <si>
    <t>Syracuse</t>
  </si>
  <si>
    <t>Houston</t>
  </si>
  <si>
    <t>Charlotte</t>
  </si>
  <si>
    <t xml:space="preserve"> NC</t>
  </si>
  <si>
    <t>Southfield</t>
  </si>
  <si>
    <t>Matawan</t>
  </si>
  <si>
    <t>Phoenix</t>
  </si>
  <si>
    <t xml:space="preserve"> AZ</t>
  </si>
  <si>
    <t>Omaha</t>
  </si>
  <si>
    <t xml:space="preserve"> NE</t>
  </si>
  <si>
    <t>Lyndhurst</t>
  </si>
  <si>
    <t>Rockville</t>
  </si>
  <si>
    <t>Minneapolis</t>
  </si>
  <si>
    <t xml:space="preserve"> MN</t>
  </si>
  <si>
    <t>Los Angeles</t>
  </si>
  <si>
    <t>Alabaster</t>
  </si>
  <si>
    <t>Santa Fe Springs</t>
  </si>
  <si>
    <t>Kansas City</t>
  </si>
  <si>
    <t>Ashburn</t>
  </si>
  <si>
    <t>Fort Worth</t>
  </si>
  <si>
    <t>Valencia</t>
  </si>
  <si>
    <t>Novato</t>
  </si>
  <si>
    <t>Aurora</t>
  </si>
  <si>
    <t>Tampa</t>
  </si>
  <si>
    <t>Riverton</t>
  </si>
  <si>
    <t xml:space="preserve"> UT</t>
  </si>
  <si>
    <t>Chattanooga</t>
  </si>
  <si>
    <t xml:space="preserve"> TN</t>
  </si>
  <si>
    <t>Ewing</t>
  </si>
  <si>
    <t>South San Francisco</t>
  </si>
  <si>
    <t>Cupertino</t>
  </si>
  <si>
    <t>Frederick</t>
  </si>
  <si>
    <t>West Reading</t>
  </si>
  <si>
    <t>Madison</t>
  </si>
  <si>
    <t>Dearborn</t>
  </si>
  <si>
    <t>Winter Park</t>
  </si>
  <si>
    <t>San Rafael</t>
  </si>
  <si>
    <t>Hamilton</t>
  </si>
  <si>
    <t>Woodbridge</t>
  </si>
  <si>
    <t>Lewes</t>
  </si>
  <si>
    <t xml:space="preserve"> DE</t>
  </si>
  <si>
    <t>Springfield</t>
  </si>
  <si>
    <t>Burbank</t>
  </si>
  <si>
    <t>Newton</t>
  </si>
  <si>
    <t>Salt Lake City</t>
  </si>
  <si>
    <t>Lafayette</t>
  </si>
  <si>
    <t>Annapolis Junction</t>
  </si>
  <si>
    <t>Highland</t>
  </si>
  <si>
    <t>Burleson</t>
  </si>
  <si>
    <t>Hoopeston</t>
  </si>
  <si>
    <t>Scotts Valley</t>
  </si>
  <si>
    <t>Knoxville</t>
  </si>
  <si>
    <t>Millville</t>
  </si>
  <si>
    <t>Sheboygan</t>
  </si>
  <si>
    <t>San Mateo</t>
  </si>
  <si>
    <t>Dayton</t>
  </si>
  <si>
    <t>Parlier</t>
  </si>
  <si>
    <t>Meridian</t>
  </si>
  <si>
    <t xml:space="preserve"> ID</t>
  </si>
  <si>
    <t>Cherry Hill</t>
  </si>
  <si>
    <t>Nashville</t>
  </si>
  <si>
    <t>Portland</t>
  </si>
  <si>
    <t>Port Washington</t>
  </si>
  <si>
    <t>Austin</t>
  </si>
  <si>
    <t>Providence</t>
  </si>
  <si>
    <t xml:space="preserve"> RI</t>
  </si>
  <si>
    <t>Raleigh</t>
  </si>
  <si>
    <t>Phila</t>
  </si>
  <si>
    <t>Oakland</t>
  </si>
  <si>
    <t>Boise</t>
  </si>
  <si>
    <t>Oak Ridge</t>
  </si>
  <si>
    <t>Agoura Hills</t>
  </si>
  <si>
    <t>Pella</t>
  </si>
  <si>
    <t xml:space="preserve"> IA</t>
  </si>
  <si>
    <t>San Ramon</t>
  </si>
  <si>
    <t>Red Bank</t>
  </si>
  <si>
    <t>Columbia</t>
  </si>
  <si>
    <t xml:space="preserve"> SC</t>
  </si>
  <si>
    <t>San Antonio</t>
  </si>
  <si>
    <t>Portsmouth</t>
  </si>
  <si>
    <t>West Palm Beach</t>
  </si>
  <si>
    <t>Exton</t>
  </si>
  <si>
    <t>Alexandria</t>
  </si>
  <si>
    <t>Owensboro</t>
  </si>
  <si>
    <t>Hartford</t>
  </si>
  <si>
    <t>Orange</t>
  </si>
  <si>
    <t>Lenexa</t>
  </si>
  <si>
    <t xml:space="preserve"> KS</t>
  </si>
  <si>
    <t>Concord</t>
  </si>
  <si>
    <t>Vail</t>
  </si>
  <si>
    <t>Natick</t>
  </si>
  <si>
    <t>Winston-Salem</t>
  </si>
  <si>
    <t>Richfield</t>
  </si>
  <si>
    <t>Hampton</t>
  </si>
  <si>
    <t>Ithaca</t>
  </si>
  <si>
    <t>Marietta</t>
  </si>
  <si>
    <t>Quincy</t>
  </si>
  <si>
    <t>Green Bay</t>
  </si>
  <si>
    <t>Durham</t>
  </si>
  <si>
    <t>Clovis</t>
  </si>
  <si>
    <t>Chandler</t>
  </si>
  <si>
    <t>Orlando</t>
  </si>
  <si>
    <t>Westlake</t>
  </si>
  <si>
    <t>Des Moines</t>
  </si>
  <si>
    <t>Cedar Rapids</t>
  </si>
  <si>
    <t>Fort Lee</t>
  </si>
  <si>
    <t>Blue Bell</t>
  </si>
  <si>
    <t>Jersey City</t>
  </si>
  <si>
    <t>Emeryville</t>
  </si>
  <si>
    <t>Santa Barbara</t>
  </si>
  <si>
    <t>Carle Place</t>
  </si>
  <si>
    <t>King of Prussia</t>
  </si>
  <si>
    <t>Santa Clara</t>
  </si>
  <si>
    <t>Brisbane</t>
  </si>
  <si>
    <t>Foster City</t>
  </si>
  <si>
    <t>Holyoke</t>
  </si>
  <si>
    <t>Waltham</t>
  </si>
  <si>
    <t>Corvallis</t>
  </si>
  <si>
    <t>Gaithersburg</t>
  </si>
  <si>
    <t>Bedford</t>
  </si>
  <si>
    <t>Aliso Viejo</t>
  </si>
  <si>
    <t>Dublin</t>
  </si>
  <si>
    <t>Arvada</t>
  </si>
  <si>
    <t>Franklin</t>
  </si>
  <si>
    <t>Plymouth Meeting</t>
  </si>
  <si>
    <t>Allentown</t>
  </si>
  <si>
    <t>Logan</t>
  </si>
  <si>
    <t>Birmingham</t>
  </si>
  <si>
    <t>Reston</t>
  </si>
  <si>
    <t>Scottsdale</t>
  </si>
  <si>
    <t>Bloomington</t>
  </si>
  <si>
    <t>Alameda</t>
  </si>
  <si>
    <t>Roanoke</t>
  </si>
  <si>
    <t>Glen Burnie</t>
  </si>
  <si>
    <t>Milpitas</t>
  </si>
  <si>
    <t>Watertown</t>
  </si>
  <si>
    <t>Irvine</t>
  </si>
  <si>
    <t>Ann Arbor</t>
  </si>
  <si>
    <t>Olympia</t>
  </si>
  <si>
    <t>Job_State</t>
  </si>
  <si>
    <t>110K-150K</t>
  </si>
  <si>
    <t>200K-275K</t>
  </si>
  <si>
    <t>80K-105K</t>
  </si>
  <si>
    <t>190K-220K</t>
  </si>
  <si>
    <t>15K-16K</t>
  </si>
  <si>
    <t>90K-110K</t>
  </si>
  <si>
    <t>82K-129K</t>
  </si>
  <si>
    <t>150K-160K</t>
  </si>
  <si>
    <t>120K-145K</t>
  </si>
  <si>
    <t>17K-24K</t>
  </si>
  <si>
    <t>200K-250K</t>
  </si>
  <si>
    <t>85K-90K</t>
  </si>
  <si>
    <t>100K-140K</t>
  </si>
  <si>
    <t>110K-130K</t>
  </si>
  <si>
    <t>100K-135K</t>
  </si>
  <si>
    <t>120K-140K</t>
  </si>
  <si>
    <t>24-39</t>
  </si>
  <si>
    <t>21K-34K</t>
  </si>
  <si>
    <t>18K-25K</t>
  </si>
  <si>
    <t>15K-25K</t>
  </si>
  <si>
    <t>25K-28K</t>
  </si>
  <si>
    <t>24K-39K</t>
  </si>
  <si>
    <t>27K-47K</t>
  </si>
  <si>
    <t>20K-35K</t>
  </si>
  <si>
    <t>21K-29K</t>
  </si>
  <si>
    <t>Salary_Estimate (USD)</t>
  </si>
  <si>
    <t>avg_salary</t>
  </si>
  <si>
    <t>New Mexico</t>
  </si>
  <si>
    <t>Maryland</t>
  </si>
  <si>
    <t>Florida</t>
  </si>
  <si>
    <t>Texas</t>
  </si>
  <si>
    <t>California</t>
  </si>
  <si>
    <t>Virginia</t>
  </si>
  <si>
    <t>Massachusetts</t>
  </si>
  <si>
    <t>New Jersey</t>
  </si>
  <si>
    <t>Colorado</t>
  </si>
  <si>
    <t>Illinois</t>
  </si>
  <si>
    <t>Kentucky</t>
  </si>
  <si>
    <t>Oregon</t>
  </si>
  <si>
    <t>Connecticut</t>
  </si>
  <si>
    <t>Michigan</t>
  </si>
  <si>
    <t>District of Columbia</t>
  </si>
  <si>
    <t>Ohio</t>
  </si>
  <si>
    <t>Alabama</t>
  </si>
  <si>
    <t>Missouri</t>
  </si>
  <si>
    <t>Pennsylvania</t>
  </si>
  <si>
    <t>Georgia</t>
  </si>
  <si>
    <t>Indiana</t>
  </si>
  <si>
    <t>Louisiana</t>
  </si>
  <si>
    <t>Wisconsin</t>
  </si>
  <si>
    <t>North Carolina</t>
  </si>
  <si>
    <t>Arizona</t>
  </si>
  <si>
    <t>Nebraska</t>
  </si>
  <si>
    <t>Minnesota</t>
  </si>
  <si>
    <t>Utah</t>
  </si>
  <si>
    <t>Tennessee</t>
  </si>
  <si>
    <t>Delaware</t>
  </si>
  <si>
    <t>Idaho</t>
  </si>
  <si>
    <t>Rhode Island</t>
  </si>
  <si>
    <t>Iowa</t>
  </si>
  <si>
    <t>South Carolina</t>
  </si>
  <si>
    <t>Kansas</t>
  </si>
  <si>
    <t>Job_State2 SF</t>
  </si>
  <si>
    <t>software engineer</t>
  </si>
  <si>
    <t>Data Architect</t>
  </si>
  <si>
    <t>Data Professional</t>
  </si>
  <si>
    <t>Software Engineer</t>
  </si>
  <si>
    <t>Data Lead</t>
  </si>
  <si>
    <t>Data Specialist</t>
  </si>
  <si>
    <t>Column1</t>
  </si>
  <si>
    <t>Lower_salary(in USD)</t>
  </si>
  <si>
    <t>Upper_Salary(in USD)</t>
  </si>
  <si>
    <t>avg_salary(in USD)</t>
  </si>
  <si>
    <t>KBiotech &amp; Pharmaceuticals2 Education</t>
  </si>
  <si>
    <t xml:space="preserve"> 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</si>
</sst>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top"/>
    </xf>
    <xf numFmtId="17" fontId="18" fillId="0" borderId="0" xfId="0" applyNumberFormat="1" applyFont="1" applyAlignment="1">
      <alignment horizontal="left" vertical="top"/>
    </xf>
    <xf numFmtId="0" fontId="16" fillId="0" borderId="10" xfId="0" applyFont="1" applyBorder="1" applyAlignment="1">
      <alignment horizontal="center" vertical="top"/>
    </xf>
    <xf numFmtId="1" fontId="18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B457D-9AFF-4562-B1FC-30B7F7B305BD}" name="Table1" displayName="Table1" ref="A1:AK743" totalsRowShown="0" headerRowDxfId="37" dataDxfId="36">
  <autoFilter ref="A1:AK743" xr:uid="{A75E917A-7D4F-400C-9F09-7568B682663B}"/>
  <tableColumns count="37">
    <tableColumn id="1" xr3:uid="{F6AF8E7A-736A-4EA6-815A-584C13FF2745}" name="ID" dataDxfId="35"/>
    <tableColumn id="2" xr3:uid="{16E4B7D6-DFF4-4867-BDE1-2E8C08611DF4}" name="Job_Title" dataDxfId="34"/>
    <tableColumn id="3" xr3:uid="{57E91C43-66A8-41AE-B23E-FE67DF2B0FE1}" name="Salary_Estimate (USD)" dataDxfId="33"/>
    <tableColumn id="19" xr3:uid="{59030847-394B-45E9-A972-73B80EF79929}" name="Lower_salary(in USD)" dataDxfId="32"/>
    <tableColumn id="44" xr3:uid="{BA5ABBD9-2B88-4C83-9F05-5438CC3FBE1F}" name="Upper_Salary(in USD)" dataDxfId="31"/>
    <tableColumn id="46" xr3:uid="{27EBA13C-9011-44FD-BB7F-C50911EE6817}" name="avg_salary(in USD)" dataDxfId="30"/>
    <tableColumn id="7" xr3:uid="{FBFA2007-38D3-47F7-A3F0-31EEEBB36281}" name="Job_City" dataDxfId="29"/>
    <tableColumn id="45" xr3:uid="{EC189AB8-D8B1-4635-9616-679548AF58F7}" name="Job_State" dataDxfId="28"/>
    <tableColumn id="8" xr3:uid="{1A5E2AA7-FB66-4306-A3EE-9E06E888E4E7}" name="Job_State2 SF" dataDxfId="27"/>
    <tableColumn id="13" xr3:uid="{7D838150-02AC-4439-B119-5E7064495C7B}" name="Type_of_ownership" dataDxfId="26"/>
    <tableColumn id="14" xr3:uid="{F80BEE85-EF09-493E-B5F4-02850A920305}" name="Industry" dataDxfId="25"/>
    <tableColumn id="15" xr3:uid="{2AC333C8-24F3-4F21-BEDE-AB92C5B435D7}" name="Sector" dataDxfId="24"/>
    <tableColumn id="16" xr3:uid="{FBC5EA83-599B-4BB1-9977-D800D4029B36}" name="Revenue" dataDxfId="23"/>
    <tableColumn id="21" xr3:uid="{03855E68-AE20-4425-B0B3-6595C2B2372A}" name="company_txt" dataDxfId="22"/>
    <tableColumn id="22" xr3:uid="{39CD836B-F0BD-4213-8B1B-EE08D9DDBE7B}" name="Job_Location" dataDxfId="21"/>
    <tableColumn id="23" xr3:uid="{12995483-369D-4F23-B083-AF80C9BDBF7C}" name="Age"/>
    <tableColumn id="24" xr3:uid="{32D5F07E-BD1F-4657-B256-F5D1E40033BD}" name="Python" dataDxfId="20"/>
    <tableColumn id="25" xr3:uid="{616F7F0A-225A-4121-A412-D573A293FB55}" name="spark" dataDxfId="19"/>
    <tableColumn id="26" xr3:uid="{257ADC56-1AF4-4923-80BE-D7B6804D1EF2}" name="aws" dataDxfId="18"/>
    <tableColumn id="27" xr3:uid="{AC644F8C-B545-4D75-B95D-9E01BA7782EB}" name="excel" dataDxfId="17"/>
    <tableColumn id="28" xr3:uid="{1EA4466F-4756-4B8F-A068-D180D143F0C4}" name="sql_" dataDxfId="16"/>
    <tableColumn id="29" xr3:uid="{465AE488-3656-40CF-AC6B-4F022537AAE2}" name="sas" dataDxfId="15"/>
    <tableColumn id="30" xr3:uid="{94DC2036-15F5-48FE-896F-7A74226DBA10}" name="keras" dataDxfId="14"/>
    <tableColumn id="31" xr3:uid="{DA3410A8-21B1-4A09-84CA-8097FBED7329}" name="pytorch" dataDxfId="13"/>
    <tableColumn id="32" xr3:uid="{C8A27028-6FF2-4CD4-9790-89CBBAFC9210}" name="scikit" dataDxfId="12"/>
    <tableColumn id="33" xr3:uid="{CBCC9B1E-A8F1-4978-BFDA-10AD619117C3}" name="tensor" dataDxfId="11"/>
    <tableColumn id="34" xr3:uid="{48EF7EDD-1A0F-4174-9C46-1C441DB46142}" name="hadoop" dataDxfId="10"/>
    <tableColumn id="35" xr3:uid="{0E3FA63C-819B-4B2C-8B95-348B64281ED1}" name="tableau" dataDxfId="9"/>
    <tableColumn id="36" xr3:uid="{DE59C724-DED0-40C2-8315-64B6C15DC8C9}" name="bi" dataDxfId="8"/>
    <tableColumn id="37" xr3:uid="{31060FB7-A6EE-4380-8DB7-60E4603664D9}" name="flink" dataDxfId="7"/>
    <tableColumn id="38" xr3:uid="{7BCBD730-7833-4D3C-ABB3-894095E6D5A8}" name="mongo" dataDxfId="6"/>
    <tableColumn id="39" xr3:uid="{7790ABE3-E05C-4407-913A-BEDE6A31C45F}" name="google_an" dataDxfId="5"/>
    <tableColumn id="40" xr3:uid="{5274E9DD-813A-4567-9BFC-781F55756EF5}" name="job_title_sim" dataDxfId="4"/>
    <tableColumn id="41" xr3:uid="{396BFC49-D151-4E1E-87B8-F5FA7632B4EB}" name="seniority_by_title" dataDxfId="3">
      <calculatedColumnFormula>IF(VALUE(AJ2) &gt;= 114, "Sr", "Jr")</calculatedColumnFormula>
    </tableColumn>
    <tableColumn id="18" xr3:uid="{08EA8CB3-4AEC-4093-9CB6-9F08BEC2016F}" name="Degree" dataDxfId="2"/>
    <tableColumn id="43" xr3:uid="{7F55B211-EF61-458A-87B2-D78B7034E3CD}" name="avg_salary" dataDxfId="1"/>
    <tableColumn id="48" xr3:uid="{4031762E-4166-48E6-8DDE-0F32753E13B6}" name="Column1" dataDxfId="0">
      <calculatedColumnFormula>Table1[[#This Row],[avg_salary]]*1000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917A-7D4F-400C-9F09-7568B682663B}">
  <dimension ref="A1:AK743"/>
  <sheetViews>
    <sheetView tabSelected="1" zoomScale="96" zoomScaleNormal="147" workbookViewId="0">
      <selection activeCell="E12" activeCellId="1" sqref="H744 E12"/>
    </sheetView>
  </sheetViews>
  <sheetFormatPr defaultRowHeight="14.4" x14ac:dyDescent="0.3"/>
  <cols>
    <col min="1" max="1" width="8.88671875" style="1"/>
    <col min="2" max="2" width="39" style="1" customWidth="1"/>
    <col min="3" max="3" width="28.5546875" style="1" customWidth="1"/>
    <col min="4" max="5" width="24" style="4" customWidth="1"/>
    <col min="6" max="6" width="22.109375" style="4" customWidth="1"/>
    <col min="7" max="9" width="20.44140625" style="1" customWidth="1"/>
    <col min="10" max="10" width="26.5546875" style="1" bestFit="1" customWidth="1"/>
    <col min="11" max="11" width="35.33203125" style="1" bestFit="1" customWidth="1"/>
    <col min="12" max="12" width="27" style="1" customWidth="1"/>
    <col min="13" max="13" width="26.33203125" style="1" bestFit="1" customWidth="1"/>
    <col min="14" max="14" width="44" style="1" bestFit="1" customWidth="1"/>
    <col min="15" max="15" width="12.77734375" style="1" customWidth="1"/>
    <col min="17" max="31" width="8.88671875" style="1"/>
    <col min="32" max="32" width="10.6640625" style="1" customWidth="1"/>
    <col min="33" max="33" width="26.21875" style="1" bestFit="1" customWidth="1"/>
    <col min="34" max="34" width="16.77734375" style="1" customWidth="1"/>
    <col min="35" max="35" width="9" bestFit="1" customWidth="1"/>
    <col min="36" max="36" width="10.21875" style="4" bestFit="1" customWidth="1"/>
    <col min="37" max="37" width="7" bestFit="1" customWidth="1"/>
  </cols>
  <sheetData>
    <row r="1" spans="1:37" x14ac:dyDescent="0.3">
      <c r="A1" s="1" t="s">
        <v>0</v>
      </c>
      <c r="B1" s="1" t="s">
        <v>1</v>
      </c>
      <c r="C1" s="1" t="s">
        <v>1433</v>
      </c>
      <c r="D1" s="4" t="s">
        <v>1478</v>
      </c>
      <c r="E1" s="4" t="s">
        <v>1479</v>
      </c>
      <c r="F1" s="4" t="s">
        <v>1480</v>
      </c>
      <c r="G1" s="1" t="s">
        <v>1174</v>
      </c>
      <c r="H1" s="3" t="s">
        <v>1407</v>
      </c>
      <c r="I1" s="1" t="s">
        <v>1470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t="s">
        <v>27</v>
      </c>
      <c r="AJ1" s="4" t="s">
        <v>1434</v>
      </c>
      <c r="AK1" s="1" t="s">
        <v>1477</v>
      </c>
    </row>
    <row r="2" spans="1:37" x14ac:dyDescent="0.3">
      <c r="A2" s="1">
        <v>0</v>
      </c>
      <c r="B2" s="1" t="s">
        <v>28</v>
      </c>
      <c r="C2" s="1" t="s">
        <v>782</v>
      </c>
      <c r="D2" s="4">
        <v>53000</v>
      </c>
      <c r="E2" s="4">
        <v>91000</v>
      </c>
      <c r="F2" s="4">
        <v>72000</v>
      </c>
      <c r="G2" s="1" t="s">
        <v>1175</v>
      </c>
      <c r="H2" t="s">
        <v>1435</v>
      </c>
      <c r="I2" s="1" t="s">
        <v>1176</v>
      </c>
      <c r="J2" s="1" t="s">
        <v>780</v>
      </c>
      <c r="K2" s="1" t="s">
        <v>29</v>
      </c>
      <c r="L2" s="1" t="s">
        <v>29</v>
      </c>
      <c r="M2" s="1" t="s">
        <v>30</v>
      </c>
      <c r="N2" s="1" t="s">
        <v>31</v>
      </c>
      <c r="O2" s="1" t="s">
        <v>32</v>
      </c>
      <c r="P2">
        <v>24</v>
      </c>
      <c r="Q2" s="1">
        <v>1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 t="s">
        <v>33</v>
      </c>
      <c r="AH2" s="1" t="str">
        <f t="shared" ref="AH2:AH65" si="0">IF(VALUE(AJ2) &gt;= 114, "Sr", "Jr")</f>
        <v>Jr</v>
      </c>
      <c r="AI2" t="s">
        <v>34</v>
      </c>
      <c r="AJ2" s="4">
        <v>72</v>
      </c>
      <c r="AK2" s="1">
        <f>Table1[[#This Row],[avg_salary]]*1000</f>
        <v>72000</v>
      </c>
    </row>
    <row r="3" spans="1:37" x14ac:dyDescent="0.3">
      <c r="A3" s="1">
        <v>1</v>
      </c>
      <c r="B3" s="1" t="s">
        <v>35</v>
      </c>
      <c r="C3" s="1" t="s">
        <v>783</v>
      </c>
      <c r="D3" s="4">
        <v>63000</v>
      </c>
      <c r="E3" s="4">
        <v>112000</v>
      </c>
      <c r="F3" s="4">
        <v>87500</v>
      </c>
      <c r="G3" s="1" t="s">
        <v>1177</v>
      </c>
      <c r="H3" t="s">
        <v>1436</v>
      </c>
      <c r="I3" s="1" t="s">
        <v>1178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>
        <v>39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 t="s">
        <v>33</v>
      </c>
      <c r="AH3" s="1" t="str">
        <f t="shared" si="0"/>
        <v>Jr</v>
      </c>
      <c r="AI3" t="s">
        <v>34</v>
      </c>
      <c r="AJ3" s="4">
        <v>87.5</v>
      </c>
      <c r="AK3" s="1">
        <f>Table1[[#This Row],[avg_salary]]*1000</f>
        <v>87500</v>
      </c>
    </row>
    <row r="4" spans="1:37" x14ac:dyDescent="0.3">
      <c r="A4" s="1">
        <v>2</v>
      </c>
      <c r="B4" s="1" t="s">
        <v>28</v>
      </c>
      <c r="C4" s="1" t="s">
        <v>784</v>
      </c>
      <c r="D4" s="4">
        <v>80000</v>
      </c>
      <c r="E4" s="4">
        <v>90000</v>
      </c>
      <c r="F4" s="4">
        <v>85000</v>
      </c>
      <c r="G4" s="1" t="s">
        <v>1179</v>
      </c>
      <c r="H4" t="s">
        <v>1437</v>
      </c>
      <c r="I4" s="1" t="s">
        <v>1180</v>
      </c>
      <c r="J4" s="1" t="s">
        <v>780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>
        <v>46</v>
      </c>
      <c r="Q4" s="1">
        <v>1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 t="s">
        <v>33</v>
      </c>
      <c r="AH4" s="1" t="str">
        <f t="shared" si="0"/>
        <v>Jr</v>
      </c>
      <c r="AI4" t="s">
        <v>34</v>
      </c>
      <c r="AJ4" s="4">
        <v>85</v>
      </c>
      <c r="AK4" s="1">
        <f>Table1[[#This Row],[avg_salary]]*1000</f>
        <v>85000</v>
      </c>
    </row>
    <row r="5" spans="1:37" x14ac:dyDescent="0.3">
      <c r="A5" s="1">
        <v>3</v>
      </c>
      <c r="B5" s="1" t="s">
        <v>28</v>
      </c>
      <c r="C5" s="1" t="s">
        <v>785</v>
      </c>
      <c r="D5" s="4">
        <v>56000</v>
      </c>
      <c r="E5" s="4">
        <v>97000</v>
      </c>
      <c r="F5" s="4">
        <v>76500</v>
      </c>
      <c r="G5" s="1" t="s">
        <v>1181</v>
      </c>
      <c r="H5" t="s">
        <v>1223</v>
      </c>
      <c r="I5" s="1" t="s">
        <v>1182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>
        <v>40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 t="s">
        <v>33</v>
      </c>
      <c r="AH5" s="1" t="str">
        <f t="shared" si="0"/>
        <v>Jr</v>
      </c>
      <c r="AI5" t="s">
        <v>34</v>
      </c>
      <c r="AJ5" s="4">
        <v>76.5</v>
      </c>
      <c r="AK5" s="1">
        <f>Table1[[#This Row],[avg_salary]]*1000</f>
        <v>76500</v>
      </c>
    </row>
    <row r="6" spans="1:37" x14ac:dyDescent="0.3">
      <c r="A6" s="1">
        <v>4</v>
      </c>
      <c r="B6" s="1" t="s">
        <v>28</v>
      </c>
      <c r="C6" s="1" t="s">
        <v>786</v>
      </c>
      <c r="D6" s="4">
        <v>86000</v>
      </c>
      <c r="E6" s="4">
        <v>143000</v>
      </c>
      <c r="F6" s="4">
        <v>114500</v>
      </c>
      <c r="G6" s="1" t="s">
        <v>1183</v>
      </c>
      <c r="H6" t="s">
        <v>1183</v>
      </c>
      <c r="I6" s="1" t="s">
        <v>1184</v>
      </c>
      <c r="J6" s="1" t="s">
        <v>780</v>
      </c>
      <c r="K6" s="1" t="s">
        <v>53</v>
      </c>
      <c r="L6" s="1" t="s">
        <v>43</v>
      </c>
      <c r="M6" s="1" t="s">
        <v>54</v>
      </c>
      <c r="N6" s="1" t="s">
        <v>55</v>
      </c>
      <c r="O6" s="1" t="s">
        <v>56</v>
      </c>
      <c r="P6">
        <v>47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33</v>
      </c>
      <c r="AH6" s="1" t="str">
        <f t="shared" si="0"/>
        <v>Sr</v>
      </c>
      <c r="AI6" t="s">
        <v>34</v>
      </c>
      <c r="AJ6" s="4">
        <v>114.5</v>
      </c>
      <c r="AK6" s="1">
        <f>Table1[[#This Row],[avg_salary]]*1000</f>
        <v>114500</v>
      </c>
    </row>
    <row r="7" spans="1:37" x14ac:dyDescent="0.3">
      <c r="A7" s="1">
        <v>5</v>
      </c>
      <c r="B7" s="1" t="s">
        <v>28</v>
      </c>
      <c r="C7" s="1" t="s">
        <v>787</v>
      </c>
      <c r="D7" s="4">
        <v>71000</v>
      </c>
      <c r="E7" s="4">
        <v>119000</v>
      </c>
      <c r="F7" s="4">
        <v>95000</v>
      </c>
      <c r="G7" s="1" t="s">
        <v>1185</v>
      </c>
      <c r="H7" t="s">
        <v>1438</v>
      </c>
      <c r="I7" s="1" t="s">
        <v>1186</v>
      </c>
      <c r="J7" s="1" t="s">
        <v>781</v>
      </c>
      <c r="K7" s="1" t="s">
        <v>57</v>
      </c>
      <c r="L7" s="1" t="s">
        <v>57</v>
      </c>
      <c r="M7" s="1" t="s">
        <v>58</v>
      </c>
      <c r="N7" s="1" t="s">
        <v>59</v>
      </c>
      <c r="O7" s="1" t="s">
        <v>60</v>
      </c>
      <c r="P7">
        <v>28</v>
      </c>
      <c r="Q7" s="1">
        <v>1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1</v>
      </c>
      <c r="AF7" s="1">
        <v>0</v>
      </c>
      <c r="AG7" s="1" t="s">
        <v>33</v>
      </c>
      <c r="AH7" s="1" t="str">
        <f t="shared" si="0"/>
        <v>Jr</v>
      </c>
      <c r="AI7" t="s">
        <v>72</v>
      </c>
      <c r="AJ7" s="4">
        <v>95</v>
      </c>
      <c r="AK7" s="1">
        <f>Table1[[#This Row],[avg_salary]]*1000</f>
        <v>95000</v>
      </c>
    </row>
    <row r="8" spans="1:37" x14ac:dyDescent="0.3">
      <c r="A8" s="1">
        <v>6</v>
      </c>
      <c r="B8" s="1" t="s">
        <v>28</v>
      </c>
      <c r="C8" s="1" t="s">
        <v>788</v>
      </c>
      <c r="D8" s="4">
        <v>54000</v>
      </c>
      <c r="E8" s="4">
        <v>93000</v>
      </c>
      <c r="F8" s="4">
        <v>73500</v>
      </c>
      <c r="G8" s="1" t="s">
        <v>1187</v>
      </c>
      <c r="H8" t="s">
        <v>1436</v>
      </c>
      <c r="I8" s="1" t="s">
        <v>1178</v>
      </c>
      <c r="J8" s="1" t="s">
        <v>780</v>
      </c>
      <c r="K8" s="1" t="s">
        <v>61</v>
      </c>
      <c r="L8" s="1" t="s">
        <v>62</v>
      </c>
      <c r="M8" s="1" t="s">
        <v>54</v>
      </c>
      <c r="N8" s="1" t="s">
        <v>63</v>
      </c>
      <c r="O8" s="1" t="s">
        <v>41</v>
      </c>
      <c r="P8">
        <v>45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33</v>
      </c>
      <c r="AH8" s="1" t="str">
        <f t="shared" si="0"/>
        <v>Jr</v>
      </c>
      <c r="AI8" t="s">
        <v>34</v>
      </c>
      <c r="AJ8" s="4">
        <v>73.5</v>
      </c>
      <c r="AK8" s="1">
        <f>Table1[[#This Row],[avg_salary]]*1000</f>
        <v>73500</v>
      </c>
    </row>
    <row r="9" spans="1:37" x14ac:dyDescent="0.3">
      <c r="A9" s="1">
        <v>7</v>
      </c>
      <c r="B9" s="1" t="s">
        <v>28</v>
      </c>
      <c r="C9" s="1" t="s">
        <v>789</v>
      </c>
      <c r="D9" s="4">
        <v>86000</v>
      </c>
      <c r="E9" s="4">
        <v>142000</v>
      </c>
      <c r="F9" s="4">
        <v>114000</v>
      </c>
      <c r="G9" s="1" t="s">
        <v>1188</v>
      </c>
      <c r="H9" t="s">
        <v>1439</v>
      </c>
      <c r="I9" s="1" t="s">
        <v>1189</v>
      </c>
      <c r="J9" s="1" t="s">
        <v>780</v>
      </c>
      <c r="K9" s="1" t="s">
        <v>64</v>
      </c>
      <c r="L9" s="1" t="s">
        <v>43</v>
      </c>
      <c r="M9" s="1" t="s">
        <v>65</v>
      </c>
      <c r="N9" s="1" t="s">
        <v>66</v>
      </c>
      <c r="O9" s="1" t="s">
        <v>67</v>
      </c>
      <c r="P9">
        <v>37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0</v>
      </c>
      <c r="W9" s="1">
        <v>0</v>
      </c>
      <c r="X9" s="1">
        <v>1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 t="s">
        <v>33</v>
      </c>
      <c r="AH9" s="1" t="str">
        <f t="shared" si="0"/>
        <v>Sr</v>
      </c>
      <c r="AI9" t="s">
        <v>34</v>
      </c>
      <c r="AJ9" s="4">
        <v>114</v>
      </c>
      <c r="AK9" s="1">
        <f>Table1[[#This Row],[avg_salary]]*1000</f>
        <v>114000</v>
      </c>
    </row>
    <row r="10" spans="1:37" x14ac:dyDescent="0.3">
      <c r="A10" s="1">
        <v>8</v>
      </c>
      <c r="B10" s="1" t="s">
        <v>68</v>
      </c>
      <c r="C10" s="1" t="s">
        <v>790</v>
      </c>
      <c r="D10" s="4">
        <v>38000</v>
      </c>
      <c r="E10" s="4">
        <v>84000</v>
      </c>
      <c r="F10" s="4">
        <v>61000</v>
      </c>
      <c r="G10" s="1" t="s">
        <v>1190</v>
      </c>
      <c r="H10" t="s">
        <v>1183</v>
      </c>
      <c r="I10" s="1" t="s">
        <v>1184</v>
      </c>
      <c r="J10" s="1" t="s">
        <v>69</v>
      </c>
      <c r="K10" s="1" t="s">
        <v>37</v>
      </c>
      <c r="L10" s="1" t="s">
        <v>38</v>
      </c>
      <c r="M10" s="1" t="s">
        <v>50</v>
      </c>
      <c r="N10" s="1" t="s">
        <v>70</v>
      </c>
      <c r="O10" s="1" t="s">
        <v>56</v>
      </c>
      <c r="P10">
        <v>57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 t="s">
        <v>71</v>
      </c>
      <c r="AH10" s="1" t="str">
        <f t="shared" si="0"/>
        <v>Jr</v>
      </c>
      <c r="AI10" t="s">
        <v>72</v>
      </c>
      <c r="AJ10" s="4">
        <v>61</v>
      </c>
      <c r="AK10" s="1">
        <f>Table1[[#This Row],[avg_salary]]*1000</f>
        <v>61000</v>
      </c>
    </row>
    <row r="11" spans="1:37" x14ac:dyDescent="0.3">
      <c r="A11" s="1">
        <v>9</v>
      </c>
      <c r="B11" s="1" t="s">
        <v>28</v>
      </c>
      <c r="C11" s="1" t="s">
        <v>791</v>
      </c>
      <c r="D11" s="4">
        <v>120000</v>
      </c>
      <c r="E11" s="4">
        <v>160000</v>
      </c>
      <c r="F11" s="4">
        <v>140000</v>
      </c>
      <c r="G11" s="1" t="s">
        <v>1183</v>
      </c>
      <c r="H11" t="s">
        <v>1183</v>
      </c>
      <c r="I11" s="1" t="s">
        <v>1184</v>
      </c>
      <c r="J11" s="1" t="s">
        <v>780</v>
      </c>
      <c r="K11" s="1" t="s">
        <v>73</v>
      </c>
      <c r="L11" s="1" t="s">
        <v>74</v>
      </c>
      <c r="M11" s="1" t="s">
        <v>44</v>
      </c>
      <c r="N11" s="1" t="s">
        <v>75</v>
      </c>
      <c r="O11" s="1" t="s">
        <v>56</v>
      </c>
      <c r="P11">
        <v>57</v>
      </c>
      <c r="Q11" s="1">
        <v>1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 t="s">
        <v>33</v>
      </c>
      <c r="AH11" s="1" t="str">
        <f t="shared" si="0"/>
        <v>Sr</v>
      </c>
      <c r="AI11" t="s">
        <v>34</v>
      </c>
      <c r="AJ11" s="4">
        <v>140</v>
      </c>
      <c r="AK11" s="1">
        <f>Table1[[#This Row],[avg_salary]]*1000</f>
        <v>140000</v>
      </c>
    </row>
    <row r="12" spans="1:37" x14ac:dyDescent="0.3">
      <c r="A12" s="1">
        <v>10</v>
      </c>
      <c r="B12" s="1" t="s">
        <v>28</v>
      </c>
      <c r="C12" s="1" t="s">
        <v>792</v>
      </c>
      <c r="D12" s="4">
        <v>126000</v>
      </c>
      <c r="E12" s="4">
        <v>201000</v>
      </c>
      <c r="F12" s="4">
        <v>163500</v>
      </c>
      <c r="G12" s="1" t="s">
        <v>1188</v>
      </c>
      <c r="H12" t="s">
        <v>1439</v>
      </c>
      <c r="I12" s="1" t="s">
        <v>1189</v>
      </c>
      <c r="J12" s="1" t="s">
        <v>780</v>
      </c>
      <c r="K12" s="1" t="s">
        <v>76</v>
      </c>
      <c r="L12" s="1" t="s">
        <v>77</v>
      </c>
      <c r="M12" s="1" t="s">
        <v>58</v>
      </c>
      <c r="N12" s="1" t="s">
        <v>78</v>
      </c>
      <c r="O12" s="1" t="s">
        <v>67</v>
      </c>
      <c r="P12">
        <v>52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 t="s">
        <v>33</v>
      </c>
      <c r="AH12" s="1" t="str">
        <f t="shared" si="0"/>
        <v>Sr</v>
      </c>
      <c r="AI12" t="s">
        <v>34</v>
      </c>
      <c r="AJ12" s="4">
        <v>163.5</v>
      </c>
      <c r="AK12" s="1">
        <f>Table1[[#This Row],[avg_salary]]*1000</f>
        <v>163500</v>
      </c>
    </row>
    <row r="13" spans="1:37" x14ac:dyDescent="0.3">
      <c r="A13" s="1">
        <v>11</v>
      </c>
      <c r="B13" s="1" t="s">
        <v>28</v>
      </c>
      <c r="C13" s="1" t="s">
        <v>793</v>
      </c>
      <c r="D13" s="4">
        <v>64000</v>
      </c>
      <c r="E13" s="4">
        <v>106000</v>
      </c>
      <c r="F13" s="4">
        <v>85000</v>
      </c>
      <c r="G13" s="1" t="s">
        <v>1191</v>
      </c>
      <c r="H13" t="s">
        <v>1440</v>
      </c>
      <c r="I13" s="1" t="s">
        <v>1192</v>
      </c>
      <c r="J13" s="1" t="s">
        <v>781</v>
      </c>
      <c r="K13" s="1" t="s">
        <v>79</v>
      </c>
      <c r="L13" s="1" t="s">
        <v>43</v>
      </c>
      <c r="M13" s="1" t="s">
        <v>58</v>
      </c>
      <c r="N13" s="1" t="s">
        <v>80</v>
      </c>
      <c r="O13" s="1" t="s">
        <v>81</v>
      </c>
      <c r="P13">
        <v>56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 t="s">
        <v>33</v>
      </c>
      <c r="AH13" s="1" t="str">
        <f t="shared" si="0"/>
        <v>Jr</v>
      </c>
      <c r="AI13" t="s">
        <v>34</v>
      </c>
      <c r="AJ13" s="4">
        <v>85</v>
      </c>
      <c r="AK13" s="1">
        <f>Table1[[#This Row],[avg_salary]]*1000</f>
        <v>85000</v>
      </c>
    </row>
    <row r="14" spans="1:37" x14ac:dyDescent="0.3">
      <c r="A14" s="1">
        <v>12</v>
      </c>
      <c r="B14" s="1" t="s">
        <v>82</v>
      </c>
      <c r="C14" s="1" t="s">
        <v>794</v>
      </c>
      <c r="D14" s="4">
        <v>106000</v>
      </c>
      <c r="E14" s="4">
        <v>172000</v>
      </c>
      <c r="F14" s="4">
        <v>139000</v>
      </c>
      <c r="G14" s="1" t="s">
        <v>1193</v>
      </c>
      <c r="H14" t="s">
        <v>1438</v>
      </c>
      <c r="I14" s="1" t="s">
        <v>1186</v>
      </c>
      <c r="J14" s="1" t="s">
        <v>781</v>
      </c>
      <c r="K14" s="1" t="s">
        <v>83</v>
      </c>
      <c r="L14" s="1" t="s">
        <v>77</v>
      </c>
      <c r="M14" s="1" t="s">
        <v>84</v>
      </c>
      <c r="N14" s="1" t="s">
        <v>85</v>
      </c>
      <c r="O14" s="1" t="s">
        <v>60</v>
      </c>
      <c r="P14">
        <v>45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 t="s">
        <v>33</v>
      </c>
      <c r="AH14" s="1" t="str">
        <f t="shared" si="0"/>
        <v>Sr</v>
      </c>
      <c r="AI14" t="s">
        <v>34</v>
      </c>
      <c r="AJ14" s="4">
        <v>139</v>
      </c>
      <c r="AK14" s="1">
        <f>Table1[[#This Row],[avg_salary]]*1000</f>
        <v>139000</v>
      </c>
    </row>
    <row r="15" spans="1:37" x14ac:dyDescent="0.3">
      <c r="A15" s="1">
        <v>13</v>
      </c>
      <c r="B15" s="1" t="s">
        <v>86</v>
      </c>
      <c r="C15" s="1" t="s">
        <v>795</v>
      </c>
      <c r="D15" s="4">
        <v>46000</v>
      </c>
      <c r="E15" s="4">
        <v>85000</v>
      </c>
      <c r="F15" s="4">
        <v>65500</v>
      </c>
      <c r="G15" s="1" t="s">
        <v>1194</v>
      </c>
      <c r="H15" t="s">
        <v>1223</v>
      </c>
      <c r="I15" s="1" t="s">
        <v>1182</v>
      </c>
      <c r="J15" s="1" t="s">
        <v>780</v>
      </c>
      <c r="K15" s="1" t="s">
        <v>53</v>
      </c>
      <c r="L15" s="1" t="s">
        <v>43</v>
      </c>
      <c r="M15" s="1" t="s">
        <v>54</v>
      </c>
      <c r="N15" s="1" t="s">
        <v>87</v>
      </c>
      <c r="O15" s="1" t="s">
        <v>52</v>
      </c>
      <c r="P15">
        <v>57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1</v>
      </c>
      <c r="AD15" s="1">
        <v>0</v>
      </c>
      <c r="AE15" s="1">
        <v>0</v>
      </c>
      <c r="AF15" s="1">
        <v>0</v>
      </c>
      <c r="AG15" s="1" t="s">
        <v>88</v>
      </c>
      <c r="AH15" s="1" t="str">
        <f t="shared" si="0"/>
        <v>Jr</v>
      </c>
      <c r="AI15" t="s">
        <v>34</v>
      </c>
      <c r="AJ15" s="4">
        <v>65.5</v>
      </c>
      <c r="AK15" s="1">
        <f>Table1[[#This Row],[avg_salary]]*1000</f>
        <v>65500</v>
      </c>
    </row>
    <row r="16" spans="1:37" x14ac:dyDescent="0.3">
      <c r="A16" s="1">
        <v>14</v>
      </c>
      <c r="B16" s="1" t="s">
        <v>28</v>
      </c>
      <c r="C16" s="1" t="s">
        <v>796</v>
      </c>
      <c r="D16" s="4">
        <v>83000</v>
      </c>
      <c r="E16" s="4">
        <v>144000</v>
      </c>
      <c r="F16" s="4">
        <v>113500</v>
      </c>
      <c r="G16" s="1" t="s">
        <v>1195</v>
      </c>
      <c r="H16" t="s">
        <v>1441</v>
      </c>
      <c r="I16" s="1" t="s">
        <v>1196</v>
      </c>
      <c r="J16" s="1" t="s">
        <v>781</v>
      </c>
      <c r="K16" s="1" t="s">
        <v>89</v>
      </c>
      <c r="L16" s="1" t="s">
        <v>89</v>
      </c>
      <c r="M16" s="1" t="s">
        <v>84</v>
      </c>
      <c r="N16" s="1" t="s">
        <v>90</v>
      </c>
      <c r="O16" s="1" t="s">
        <v>91</v>
      </c>
      <c r="P16">
        <v>57</v>
      </c>
      <c r="Q16" s="1">
        <v>1</v>
      </c>
      <c r="R16" s="1">
        <v>1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 t="s">
        <v>33</v>
      </c>
      <c r="AH16" s="1" t="str">
        <f t="shared" si="0"/>
        <v>Jr</v>
      </c>
      <c r="AI16" t="s">
        <v>34</v>
      </c>
      <c r="AJ16" s="4">
        <v>113.5</v>
      </c>
      <c r="AK16" s="1">
        <f>Table1[[#This Row],[avg_salary]]*1000</f>
        <v>113500</v>
      </c>
    </row>
    <row r="17" spans="1:37" x14ac:dyDescent="0.3">
      <c r="A17" s="1">
        <v>15</v>
      </c>
      <c r="B17" s="1" t="s">
        <v>92</v>
      </c>
      <c r="C17" s="1" t="s">
        <v>797</v>
      </c>
      <c r="D17" s="4">
        <v>102000</v>
      </c>
      <c r="E17" s="4">
        <v>190000</v>
      </c>
      <c r="F17" s="4">
        <v>146000</v>
      </c>
      <c r="G17" s="1" t="s">
        <v>1197</v>
      </c>
      <c r="H17" t="s">
        <v>1442</v>
      </c>
      <c r="I17" s="1" t="s">
        <v>1198</v>
      </c>
      <c r="J17" s="1" t="s">
        <v>93</v>
      </c>
      <c r="K17" s="1" t="s">
        <v>94</v>
      </c>
      <c r="L17" s="1" t="s">
        <v>95</v>
      </c>
      <c r="M17" s="1" t="s">
        <v>54</v>
      </c>
      <c r="N17" s="1" t="s">
        <v>96</v>
      </c>
      <c r="O17" s="1" t="s">
        <v>97</v>
      </c>
      <c r="P17">
        <v>29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 t="s">
        <v>98</v>
      </c>
      <c r="AH17" s="1" t="str">
        <f t="shared" si="0"/>
        <v>Sr</v>
      </c>
      <c r="AI17" t="s">
        <v>34</v>
      </c>
      <c r="AJ17" s="4">
        <v>146</v>
      </c>
      <c r="AK17" s="1">
        <f>Table1[[#This Row],[avg_salary]]*1000</f>
        <v>146000</v>
      </c>
    </row>
    <row r="18" spans="1:37" x14ac:dyDescent="0.3">
      <c r="A18" s="1">
        <v>16</v>
      </c>
      <c r="B18" s="1" t="s">
        <v>99</v>
      </c>
      <c r="C18" s="1" t="s">
        <v>798</v>
      </c>
      <c r="D18" s="4">
        <v>67000</v>
      </c>
      <c r="E18" s="4">
        <v>137000</v>
      </c>
      <c r="F18" s="4">
        <v>102000</v>
      </c>
      <c r="G18" s="1" t="s">
        <v>1195</v>
      </c>
      <c r="H18" t="s">
        <v>1441</v>
      </c>
      <c r="I18" s="1" t="s">
        <v>1196</v>
      </c>
      <c r="J18" s="1" t="s">
        <v>781</v>
      </c>
      <c r="K18" s="1" t="s">
        <v>89</v>
      </c>
      <c r="L18" s="1" t="s">
        <v>89</v>
      </c>
      <c r="M18" s="1" t="s">
        <v>100</v>
      </c>
      <c r="N18" s="1" t="s">
        <v>101</v>
      </c>
      <c r="O18" s="1" t="s">
        <v>91</v>
      </c>
      <c r="P18">
        <v>52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 t="s">
        <v>71</v>
      </c>
      <c r="AH18" s="1" t="str">
        <f t="shared" si="0"/>
        <v>Jr</v>
      </c>
      <c r="AI18" t="s">
        <v>72</v>
      </c>
      <c r="AJ18" s="4">
        <v>102</v>
      </c>
      <c r="AK18" s="1">
        <f>Table1[[#This Row],[avg_salary]]*1000</f>
        <v>102000</v>
      </c>
    </row>
    <row r="19" spans="1:37" x14ac:dyDescent="0.3">
      <c r="A19" s="1">
        <v>17</v>
      </c>
      <c r="B19" s="1" t="s">
        <v>102</v>
      </c>
      <c r="C19" s="1" t="s">
        <v>799</v>
      </c>
      <c r="D19" s="4">
        <v>118000</v>
      </c>
      <c r="E19" s="4">
        <v>189000</v>
      </c>
      <c r="F19" s="4">
        <v>153500</v>
      </c>
      <c r="G19" s="1" t="s">
        <v>1199</v>
      </c>
      <c r="H19" t="s">
        <v>1439</v>
      </c>
      <c r="I19" s="1" t="s">
        <v>1189</v>
      </c>
      <c r="J19" s="1" t="s">
        <v>780</v>
      </c>
      <c r="K19" s="1" t="s">
        <v>103</v>
      </c>
      <c r="L19" s="1" t="s">
        <v>74</v>
      </c>
      <c r="M19" s="1" t="s">
        <v>54</v>
      </c>
      <c r="N19" s="1" t="s">
        <v>104</v>
      </c>
      <c r="O19" s="1" t="s">
        <v>67</v>
      </c>
      <c r="P19">
        <v>43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 t="s">
        <v>33</v>
      </c>
      <c r="AH19" s="1" t="str">
        <f t="shared" si="0"/>
        <v>Sr</v>
      </c>
      <c r="AI19" t="s">
        <v>34</v>
      </c>
      <c r="AJ19" s="4">
        <v>153.5</v>
      </c>
      <c r="AK19" s="1">
        <f>Table1[[#This Row],[avg_salary]]*1000</f>
        <v>153500</v>
      </c>
    </row>
    <row r="20" spans="1:37" x14ac:dyDescent="0.3">
      <c r="A20" s="1">
        <v>18</v>
      </c>
      <c r="B20" s="1" t="s">
        <v>105</v>
      </c>
      <c r="C20" s="1" t="s">
        <v>800</v>
      </c>
      <c r="D20" s="4">
        <v>110000</v>
      </c>
      <c r="E20" s="4">
        <v>175000</v>
      </c>
      <c r="F20" s="4">
        <v>142500</v>
      </c>
      <c r="G20" s="1" t="s">
        <v>1200</v>
      </c>
      <c r="H20" t="s">
        <v>1439</v>
      </c>
      <c r="I20" s="1" t="s">
        <v>1189</v>
      </c>
      <c r="J20" s="1" t="s">
        <v>780</v>
      </c>
      <c r="K20" s="1" t="s">
        <v>103</v>
      </c>
      <c r="L20" s="1" t="s">
        <v>74</v>
      </c>
      <c r="M20" s="1" t="s">
        <v>54</v>
      </c>
      <c r="N20" s="1" t="s">
        <v>106</v>
      </c>
      <c r="O20" s="1" t="s">
        <v>67</v>
      </c>
      <c r="P20">
        <v>29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 t="s">
        <v>33</v>
      </c>
      <c r="AH20" s="1" t="str">
        <f t="shared" si="0"/>
        <v>Sr</v>
      </c>
      <c r="AI20" t="s">
        <v>34</v>
      </c>
      <c r="AJ20" s="4">
        <v>142.5</v>
      </c>
      <c r="AK20" s="1">
        <f>Table1[[#This Row],[avg_salary]]*1000</f>
        <v>142500</v>
      </c>
    </row>
    <row r="21" spans="1:37" x14ac:dyDescent="0.3">
      <c r="A21" s="1">
        <v>19</v>
      </c>
      <c r="B21" s="1" t="s">
        <v>28</v>
      </c>
      <c r="C21" s="1" t="s">
        <v>801</v>
      </c>
      <c r="D21" s="4">
        <v>64000</v>
      </c>
      <c r="E21" s="4">
        <v>111000</v>
      </c>
      <c r="F21" s="4">
        <v>87500</v>
      </c>
      <c r="G21" s="1" t="s">
        <v>1201</v>
      </c>
      <c r="H21" t="s">
        <v>1443</v>
      </c>
      <c r="I21" s="1" t="s">
        <v>1202</v>
      </c>
      <c r="J21" s="1" t="s">
        <v>107</v>
      </c>
      <c r="K21" s="1" t="s">
        <v>108</v>
      </c>
      <c r="L21" s="1" t="s">
        <v>109</v>
      </c>
      <c r="M21" s="1" t="s">
        <v>50</v>
      </c>
      <c r="N21" s="1" t="s">
        <v>110</v>
      </c>
      <c r="O21" s="1" t="s">
        <v>111</v>
      </c>
      <c r="P21">
        <v>29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1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 t="s">
        <v>33</v>
      </c>
      <c r="AH21" s="1" t="str">
        <f t="shared" si="0"/>
        <v>Jr</v>
      </c>
      <c r="AI21" t="s">
        <v>34</v>
      </c>
      <c r="AJ21" s="4">
        <v>87.5</v>
      </c>
      <c r="AK21" s="1">
        <f>Table1[[#This Row],[avg_salary]]*1000</f>
        <v>87500</v>
      </c>
    </row>
    <row r="22" spans="1:37" x14ac:dyDescent="0.3">
      <c r="A22" s="1">
        <v>20</v>
      </c>
      <c r="B22" s="1" t="s">
        <v>28</v>
      </c>
      <c r="C22" s="1" t="s">
        <v>802</v>
      </c>
      <c r="D22" s="4">
        <v>81000</v>
      </c>
      <c r="E22" s="4">
        <v>130000</v>
      </c>
      <c r="F22" s="4">
        <v>105500</v>
      </c>
      <c r="G22" s="1" t="s">
        <v>1194</v>
      </c>
      <c r="H22" t="s">
        <v>1223</v>
      </c>
      <c r="I22" s="1" t="s">
        <v>1182</v>
      </c>
      <c r="J22" s="1" t="s">
        <v>780</v>
      </c>
      <c r="K22" s="1" t="s">
        <v>73</v>
      </c>
      <c r="L22" s="1" t="s">
        <v>74</v>
      </c>
      <c r="M22" s="1" t="s">
        <v>54</v>
      </c>
      <c r="N22" s="1" t="s">
        <v>112</v>
      </c>
      <c r="O22" s="1" t="s">
        <v>52</v>
      </c>
      <c r="P22">
        <v>56</v>
      </c>
      <c r="Q22" s="1">
        <v>1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 t="s">
        <v>33</v>
      </c>
      <c r="AH22" s="1" t="str">
        <f t="shared" si="0"/>
        <v>Jr</v>
      </c>
      <c r="AI22" t="s">
        <v>34</v>
      </c>
      <c r="AJ22" s="4">
        <v>105.5</v>
      </c>
      <c r="AK22" s="1">
        <f>Table1[[#This Row],[avg_salary]]*1000</f>
        <v>105500</v>
      </c>
    </row>
    <row r="23" spans="1:37" x14ac:dyDescent="0.3">
      <c r="A23" s="1">
        <v>21</v>
      </c>
      <c r="B23" s="1" t="s">
        <v>113</v>
      </c>
      <c r="C23" s="1" t="s">
        <v>803</v>
      </c>
      <c r="D23" s="4">
        <v>73000</v>
      </c>
      <c r="E23" s="4">
        <v>119000</v>
      </c>
      <c r="F23" s="4">
        <v>96000</v>
      </c>
      <c r="G23" s="1" t="s">
        <v>1185</v>
      </c>
      <c r="H23" t="s">
        <v>1438</v>
      </c>
      <c r="I23" s="1" t="s">
        <v>1186</v>
      </c>
      <c r="J23" s="1" t="s">
        <v>780</v>
      </c>
      <c r="K23" s="1" t="s">
        <v>114</v>
      </c>
      <c r="L23" s="1" t="s">
        <v>109</v>
      </c>
      <c r="M23" s="1" t="s">
        <v>54</v>
      </c>
      <c r="N23" s="1" t="s">
        <v>115</v>
      </c>
      <c r="O23" s="1" t="s">
        <v>60</v>
      </c>
      <c r="P23">
        <v>55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 t="s">
        <v>33</v>
      </c>
      <c r="AH23" s="1" t="str">
        <f t="shared" si="0"/>
        <v>Jr</v>
      </c>
      <c r="AI23" t="s">
        <v>72</v>
      </c>
      <c r="AJ23" s="4">
        <v>96</v>
      </c>
      <c r="AK23" s="1">
        <f>Table1[[#This Row],[avg_salary]]*1000</f>
        <v>96000</v>
      </c>
    </row>
    <row r="24" spans="1:37" x14ac:dyDescent="0.3">
      <c r="A24" s="1">
        <v>22</v>
      </c>
      <c r="B24" s="1" t="s">
        <v>116</v>
      </c>
      <c r="C24" s="1" t="s">
        <v>804</v>
      </c>
      <c r="D24" s="4">
        <v>86000</v>
      </c>
      <c r="E24" s="4">
        <v>139000</v>
      </c>
      <c r="F24" s="4">
        <v>112500</v>
      </c>
      <c r="G24" s="1" t="s">
        <v>1203</v>
      </c>
      <c r="H24" t="s">
        <v>1444</v>
      </c>
      <c r="I24" s="1" t="s">
        <v>1204</v>
      </c>
      <c r="J24" s="1" t="s">
        <v>780</v>
      </c>
      <c r="K24" s="1" t="s">
        <v>117</v>
      </c>
      <c r="L24" s="1" t="s">
        <v>118</v>
      </c>
      <c r="M24" s="1" t="s">
        <v>54</v>
      </c>
      <c r="N24" s="1" t="s">
        <v>119</v>
      </c>
      <c r="O24" s="1" t="s">
        <v>120</v>
      </c>
      <c r="P24">
        <v>58</v>
      </c>
      <c r="Q24" s="1">
        <v>1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 t="s">
        <v>33</v>
      </c>
      <c r="AH24" s="1" t="str">
        <f t="shared" si="0"/>
        <v>Jr</v>
      </c>
      <c r="AI24" t="s">
        <v>34</v>
      </c>
      <c r="AJ24" s="4">
        <v>112.5</v>
      </c>
      <c r="AK24" s="1">
        <f>Table1[[#This Row],[avg_salary]]*1000</f>
        <v>112500</v>
      </c>
    </row>
    <row r="25" spans="1:37" x14ac:dyDescent="0.3">
      <c r="A25" s="1">
        <v>23</v>
      </c>
      <c r="B25" s="1" t="s">
        <v>28</v>
      </c>
      <c r="C25" s="1" t="s">
        <v>805</v>
      </c>
      <c r="D25" s="4">
        <v>63000</v>
      </c>
      <c r="E25" s="4">
        <v>105000</v>
      </c>
      <c r="F25" s="4">
        <v>84000</v>
      </c>
      <c r="G25" s="1" t="s">
        <v>1205</v>
      </c>
      <c r="H25" t="s">
        <v>1445</v>
      </c>
      <c r="I25" s="1" t="s">
        <v>1206</v>
      </c>
      <c r="J25" s="1" t="s">
        <v>107</v>
      </c>
      <c r="K25" s="1" t="s">
        <v>117</v>
      </c>
      <c r="L25" s="1" t="s">
        <v>118</v>
      </c>
      <c r="M25" s="1" t="s">
        <v>121</v>
      </c>
      <c r="N25" s="1" t="s">
        <v>122</v>
      </c>
      <c r="O25" s="1" t="s">
        <v>123</v>
      </c>
      <c r="P25">
        <v>33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 t="s">
        <v>33</v>
      </c>
      <c r="AH25" s="1" t="str">
        <f t="shared" si="0"/>
        <v>Jr</v>
      </c>
      <c r="AI25" t="s">
        <v>34</v>
      </c>
      <c r="AJ25" s="4">
        <v>84</v>
      </c>
      <c r="AK25" s="1">
        <f>Table1[[#This Row],[avg_salary]]*1000</f>
        <v>84000</v>
      </c>
    </row>
    <row r="26" spans="1:37" x14ac:dyDescent="0.3">
      <c r="A26" s="1">
        <v>25</v>
      </c>
      <c r="B26" s="1" t="s">
        <v>28</v>
      </c>
      <c r="C26" s="1" t="s">
        <v>806</v>
      </c>
      <c r="D26" s="4">
        <v>109000</v>
      </c>
      <c r="E26" s="4">
        <v>177000</v>
      </c>
      <c r="F26" s="4">
        <v>143000</v>
      </c>
      <c r="G26" s="1" t="s">
        <v>1207</v>
      </c>
      <c r="H26" t="s">
        <v>1440</v>
      </c>
      <c r="I26" s="1" t="s">
        <v>1192</v>
      </c>
      <c r="J26" s="1" t="s">
        <v>780</v>
      </c>
      <c r="K26" s="1" t="s">
        <v>103</v>
      </c>
      <c r="L26" s="1" t="s">
        <v>74</v>
      </c>
      <c r="M26" s="1" t="s">
        <v>44</v>
      </c>
      <c r="N26" s="1" t="s">
        <v>124</v>
      </c>
      <c r="O26" s="1" t="s">
        <v>81</v>
      </c>
      <c r="P26">
        <v>44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 t="s">
        <v>33</v>
      </c>
      <c r="AH26" s="1" t="str">
        <f t="shared" si="0"/>
        <v>Sr</v>
      </c>
      <c r="AI26" t="s">
        <v>34</v>
      </c>
      <c r="AJ26" s="4">
        <v>143</v>
      </c>
      <c r="AK26" s="1">
        <f>Table1[[#This Row],[avg_salary]]*1000</f>
        <v>143000</v>
      </c>
    </row>
    <row r="27" spans="1:37" x14ac:dyDescent="0.3">
      <c r="A27" s="1">
        <v>26</v>
      </c>
      <c r="B27" s="1" t="s">
        <v>125</v>
      </c>
      <c r="C27" s="1" t="s">
        <v>807</v>
      </c>
      <c r="D27" s="4">
        <v>63000</v>
      </c>
      <c r="E27" s="4">
        <v>110000</v>
      </c>
      <c r="F27" s="4">
        <v>86500</v>
      </c>
      <c r="G27" s="1" t="s">
        <v>1195</v>
      </c>
      <c r="H27" t="s">
        <v>1441</v>
      </c>
      <c r="I27" s="1" t="s">
        <v>1196</v>
      </c>
      <c r="J27" s="1" t="s">
        <v>781</v>
      </c>
      <c r="K27" s="1" t="s">
        <v>89</v>
      </c>
      <c r="L27" s="1" t="s">
        <v>89</v>
      </c>
      <c r="M27" s="1" t="s">
        <v>84</v>
      </c>
      <c r="N27" s="1" t="s">
        <v>126</v>
      </c>
      <c r="O27" s="1" t="s">
        <v>91</v>
      </c>
      <c r="P27">
        <v>43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33</v>
      </c>
      <c r="AH27" s="1" t="str">
        <f t="shared" si="0"/>
        <v>Jr</v>
      </c>
      <c r="AI27" t="s">
        <v>72</v>
      </c>
      <c r="AJ27" s="4">
        <v>86.5</v>
      </c>
      <c r="AK27" s="1">
        <f>Table1[[#This Row],[avg_salary]]*1000</f>
        <v>86500</v>
      </c>
    </row>
    <row r="28" spans="1:37" x14ac:dyDescent="0.3">
      <c r="A28" s="1">
        <v>27</v>
      </c>
      <c r="B28" s="1" t="s">
        <v>28</v>
      </c>
      <c r="C28" s="1" t="s">
        <v>808</v>
      </c>
      <c r="D28" s="4">
        <v>75000</v>
      </c>
      <c r="E28" s="4">
        <v>124000</v>
      </c>
      <c r="F28" s="4">
        <v>99500</v>
      </c>
      <c r="G28" s="1" t="s">
        <v>1208</v>
      </c>
      <c r="H28" t="s">
        <v>1446</v>
      </c>
      <c r="I28" s="1" t="s">
        <v>1209</v>
      </c>
      <c r="J28" s="1" t="s">
        <v>780</v>
      </c>
      <c r="K28" s="1" t="s">
        <v>61</v>
      </c>
      <c r="L28" s="1" t="s">
        <v>62</v>
      </c>
      <c r="M28" s="1" t="s">
        <v>44</v>
      </c>
      <c r="N28" s="1" t="s">
        <v>127</v>
      </c>
      <c r="O28" s="1" t="s">
        <v>128</v>
      </c>
      <c r="P28">
        <v>28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1</v>
      </c>
      <c r="X28" s="1">
        <v>0</v>
      </c>
      <c r="Y28" s="1">
        <v>1</v>
      </c>
      <c r="Z28" s="1">
        <v>1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 t="s">
        <v>33</v>
      </c>
      <c r="AH28" s="1" t="str">
        <f t="shared" si="0"/>
        <v>Jr</v>
      </c>
      <c r="AI28" t="s">
        <v>72</v>
      </c>
      <c r="AJ28" s="4">
        <v>99.5</v>
      </c>
      <c r="AK28" s="1">
        <f>Table1[[#This Row],[avg_salary]]*1000</f>
        <v>99500</v>
      </c>
    </row>
    <row r="29" spans="1:37" x14ac:dyDescent="0.3">
      <c r="A29" s="1">
        <v>28</v>
      </c>
      <c r="B29" s="1" t="s">
        <v>129</v>
      </c>
      <c r="C29" s="1" t="s">
        <v>809</v>
      </c>
      <c r="D29" s="4">
        <v>34000</v>
      </c>
      <c r="E29" s="4">
        <v>61000</v>
      </c>
      <c r="F29" s="4">
        <v>47500</v>
      </c>
      <c r="G29" s="1" t="s">
        <v>1210</v>
      </c>
      <c r="H29" t="s">
        <v>1441</v>
      </c>
      <c r="I29" s="1" t="s">
        <v>1196</v>
      </c>
      <c r="J29" s="1" t="s">
        <v>781</v>
      </c>
      <c r="K29" s="1" t="s">
        <v>108</v>
      </c>
      <c r="L29" s="1" t="s">
        <v>109</v>
      </c>
      <c r="M29" s="1" t="s">
        <v>130</v>
      </c>
      <c r="N29" s="1" t="s">
        <v>131</v>
      </c>
      <c r="O29" s="1" t="s">
        <v>91</v>
      </c>
      <c r="P29">
        <v>37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 t="s">
        <v>88</v>
      </c>
      <c r="AH29" s="1" t="str">
        <f t="shared" si="0"/>
        <v>Jr</v>
      </c>
      <c r="AI29" t="s">
        <v>34</v>
      </c>
      <c r="AJ29" s="4">
        <v>47.5</v>
      </c>
      <c r="AK29" s="1">
        <f>Table1[[#This Row],[avg_salary]]*1000</f>
        <v>47500</v>
      </c>
    </row>
    <row r="30" spans="1:37" x14ac:dyDescent="0.3">
      <c r="A30" s="1">
        <v>29</v>
      </c>
      <c r="B30" s="1" t="s">
        <v>132</v>
      </c>
      <c r="C30" s="1" t="s">
        <v>805</v>
      </c>
      <c r="D30" s="4">
        <v>63000</v>
      </c>
      <c r="E30" s="4">
        <v>105000</v>
      </c>
      <c r="F30" s="4">
        <v>84000</v>
      </c>
      <c r="G30" s="1" t="s">
        <v>1211</v>
      </c>
      <c r="H30" t="s">
        <v>1447</v>
      </c>
      <c r="I30" s="1" t="s">
        <v>1212</v>
      </c>
      <c r="J30" s="1" t="s">
        <v>781</v>
      </c>
      <c r="K30" s="1" t="s">
        <v>89</v>
      </c>
      <c r="L30" s="1" t="s">
        <v>89</v>
      </c>
      <c r="M30" s="1" t="s">
        <v>84</v>
      </c>
      <c r="N30" s="1" t="s">
        <v>126</v>
      </c>
      <c r="O30" s="1" t="s">
        <v>133</v>
      </c>
      <c r="P30">
        <v>45</v>
      </c>
      <c r="Q30" s="1">
        <v>0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 t="s">
        <v>33</v>
      </c>
      <c r="AH30" s="1" t="str">
        <f t="shared" si="0"/>
        <v>Jr</v>
      </c>
      <c r="AI30" t="s">
        <v>34</v>
      </c>
      <c r="AJ30" s="4">
        <v>84</v>
      </c>
      <c r="AK30" s="1">
        <f>Table1[[#This Row],[avg_salary]]*1000</f>
        <v>84000</v>
      </c>
    </row>
    <row r="31" spans="1:37" x14ac:dyDescent="0.3">
      <c r="A31" s="1">
        <v>30</v>
      </c>
      <c r="B31" s="1" t="s">
        <v>28</v>
      </c>
      <c r="C31" s="1" t="s">
        <v>784</v>
      </c>
      <c r="D31" s="4">
        <v>80000</v>
      </c>
      <c r="E31" s="4">
        <v>90000</v>
      </c>
      <c r="F31" s="4">
        <v>85000</v>
      </c>
      <c r="G31" s="1" t="s">
        <v>1179</v>
      </c>
      <c r="H31" t="s">
        <v>1437</v>
      </c>
      <c r="I31" s="1" t="s">
        <v>1180</v>
      </c>
      <c r="J31" s="1" t="s">
        <v>780</v>
      </c>
      <c r="K31" s="1" t="s">
        <v>42</v>
      </c>
      <c r="L31" s="1" t="s">
        <v>43</v>
      </c>
      <c r="M31" s="1" t="s">
        <v>44</v>
      </c>
      <c r="N31" s="1" t="s">
        <v>45</v>
      </c>
      <c r="O31" s="1" t="s">
        <v>46</v>
      </c>
      <c r="P31">
        <v>54</v>
      </c>
      <c r="Q31" s="1">
        <v>1</v>
      </c>
      <c r="R31" s="1">
        <v>1</v>
      </c>
      <c r="S31" s="1">
        <v>0</v>
      </c>
      <c r="T31" s="1">
        <v>1</v>
      </c>
      <c r="U31" s="1">
        <v>1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 t="s">
        <v>33</v>
      </c>
      <c r="AH31" s="1" t="str">
        <f t="shared" si="0"/>
        <v>Jr</v>
      </c>
      <c r="AI31" t="s">
        <v>34</v>
      </c>
      <c r="AJ31" s="4">
        <v>85</v>
      </c>
      <c r="AK31" s="1">
        <f>Table1[[#This Row],[avg_salary]]*1000</f>
        <v>85000</v>
      </c>
    </row>
    <row r="32" spans="1:37" x14ac:dyDescent="0.3">
      <c r="A32" s="1">
        <v>31</v>
      </c>
      <c r="B32" s="1" t="s">
        <v>28</v>
      </c>
      <c r="C32" s="1" t="s">
        <v>785</v>
      </c>
      <c r="D32" s="4">
        <v>56000</v>
      </c>
      <c r="E32" s="4">
        <v>97000</v>
      </c>
      <c r="F32" s="4">
        <v>76500</v>
      </c>
      <c r="G32" s="1" t="s">
        <v>1181</v>
      </c>
      <c r="H32" t="s">
        <v>1223</v>
      </c>
      <c r="I32" s="1" t="s">
        <v>1182</v>
      </c>
      <c r="J32" s="1" t="s">
        <v>47</v>
      </c>
      <c r="K32" s="1" t="s">
        <v>48</v>
      </c>
      <c r="L32" s="1" t="s">
        <v>49</v>
      </c>
      <c r="M32" s="1" t="s">
        <v>50</v>
      </c>
      <c r="N32" s="1" t="s">
        <v>51</v>
      </c>
      <c r="O32" s="1" t="s">
        <v>52</v>
      </c>
      <c r="P32">
        <v>36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 t="s">
        <v>33</v>
      </c>
      <c r="AH32" s="1" t="str">
        <f t="shared" si="0"/>
        <v>Jr</v>
      </c>
      <c r="AI32" t="s">
        <v>34</v>
      </c>
      <c r="AJ32" s="4">
        <v>76.5</v>
      </c>
      <c r="AK32" s="1">
        <f>Table1[[#This Row],[avg_salary]]*1000</f>
        <v>76500</v>
      </c>
    </row>
    <row r="33" spans="1:37" x14ac:dyDescent="0.3">
      <c r="A33" s="1">
        <v>32</v>
      </c>
      <c r="B33" s="1" t="s">
        <v>28</v>
      </c>
      <c r="C33" s="1" t="s">
        <v>810</v>
      </c>
      <c r="D33" s="4">
        <v>72000</v>
      </c>
      <c r="E33" s="4">
        <v>120000</v>
      </c>
      <c r="F33" s="4">
        <v>96000</v>
      </c>
      <c r="G33" s="1" t="s">
        <v>1213</v>
      </c>
      <c r="H33" t="s">
        <v>1448</v>
      </c>
      <c r="I33" s="1" t="s">
        <v>1214</v>
      </c>
      <c r="J33" s="1" t="s">
        <v>780</v>
      </c>
      <c r="K33" s="1" t="s">
        <v>57</v>
      </c>
      <c r="L33" s="1" t="s">
        <v>57</v>
      </c>
      <c r="M33" s="1" t="s">
        <v>50</v>
      </c>
      <c r="N33" s="1" t="s">
        <v>134</v>
      </c>
      <c r="O33" s="1" t="s">
        <v>135</v>
      </c>
      <c r="P33">
        <v>50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 t="s">
        <v>33</v>
      </c>
      <c r="AH33" s="1" t="str">
        <f t="shared" si="0"/>
        <v>Jr</v>
      </c>
      <c r="AI33" t="s">
        <v>34</v>
      </c>
      <c r="AJ33" s="4">
        <v>96</v>
      </c>
      <c r="AK33" s="1">
        <f>Table1[[#This Row],[avg_salary]]*1000</f>
        <v>96000</v>
      </c>
    </row>
    <row r="34" spans="1:37" x14ac:dyDescent="0.3">
      <c r="A34" s="1">
        <v>33</v>
      </c>
      <c r="B34" s="1" t="s">
        <v>136</v>
      </c>
      <c r="C34" s="1" t="s">
        <v>786</v>
      </c>
      <c r="D34" s="4">
        <v>86000</v>
      </c>
      <c r="E34" s="4">
        <v>143000</v>
      </c>
      <c r="F34" s="4">
        <v>114500</v>
      </c>
      <c r="G34" s="1" t="s">
        <v>1195</v>
      </c>
      <c r="H34" t="s">
        <v>1441</v>
      </c>
      <c r="I34" s="1" t="s">
        <v>1196</v>
      </c>
      <c r="J34" s="1" t="s">
        <v>781</v>
      </c>
      <c r="K34" s="1" t="s">
        <v>89</v>
      </c>
      <c r="L34" s="1" t="s">
        <v>89</v>
      </c>
      <c r="M34" s="1" t="s">
        <v>84</v>
      </c>
      <c r="N34" s="1" t="s">
        <v>137</v>
      </c>
      <c r="O34" s="1" t="s">
        <v>91</v>
      </c>
      <c r="P34">
        <v>36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 t="s">
        <v>33</v>
      </c>
      <c r="AH34" s="1" t="str">
        <f t="shared" si="0"/>
        <v>Sr</v>
      </c>
      <c r="AI34" t="s">
        <v>34</v>
      </c>
      <c r="AJ34" s="4">
        <v>114.5</v>
      </c>
      <c r="AK34" s="1">
        <f>Table1[[#This Row],[avg_salary]]*1000</f>
        <v>114500</v>
      </c>
    </row>
    <row r="35" spans="1:37" x14ac:dyDescent="0.3">
      <c r="A35" s="1">
        <v>34</v>
      </c>
      <c r="B35" s="1" t="s">
        <v>28</v>
      </c>
      <c r="C35" s="1" t="s">
        <v>811</v>
      </c>
      <c r="D35" s="4">
        <v>93000</v>
      </c>
      <c r="E35" s="4">
        <v>149000</v>
      </c>
      <c r="F35" s="4">
        <v>121000</v>
      </c>
      <c r="G35" s="1" t="s">
        <v>1215</v>
      </c>
      <c r="H35" t="s">
        <v>1439</v>
      </c>
      <c r="I35" s="1" t="s">
        <v>1189</v>
      </c>
      <c r="J35" s="1" t="s">
        <v>781</v>
      </c>
      <c r="K35" s="1" t="s">
        <v>138</v>
      </c>
      <c r="L35" s="1" t="s">
        <v>139</v>
      </c>
      <c r="M35" s="1" t="s">
        <v>39</v>
      </c>
      <c r="N35" s="1" t="s">
        <v>140</v>
      </c>
      <c r="O35" s="1" t="s">
        <v>67</v>
      </c>
      <c r="P35">
        <v>39</v>
      </c>
      <c r="Q35" s="1">
        <v>1</v>
      </c>
      <c r="R35" s="1">
        <v>1</v>
      </c>
      <c r="S35" s="1">
        <v>0</v>
      </c>
      <c r="T35" s="1">
        <v>1</v>
      </c>
      <c r="U35" s="1">
        <v>1</v>
      </c>
      <c r="V35" s="1">
        <v>0</v>
      </c>
      <c r="W35" s="1">
        <v>1</v>
      </c>
      <c r="X35" s="1">
        <v>0</v>
      </c>
      <c r="Y35" s="1">
        <v>1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 t="s">
        <v>33</v>
      </c>
      <c r="AH35" s="1" t="str">
        <f t="shared" si="0"/>
        <v>Sr</v>
      </c>
      <c r="AI35" t="s">
        <v>34</v>
      </c>
      <c r="AJ35" s="4">
        <v>121</v>
      </c>
      <c r="AK35" s="1">
        <f>Table1[[#This Row],[avg_salary]]*1000</f>
        <v>121000</v>
      </c>
    </row>
    <row r="36" spans="1:37" x14ac:dyDescent="0.3">
      <c r="A36" s="1">
        <v>35</v>
      </c>
      <c r="B36" s="1" t="s">
        <v>28</v>
      </c>
      <c r="C36" s="1" t="s">
        <v>812</v>
      </c>
      <c r="D36" s="4">
        <v>85000</v>
      </c>
      <c r="E36" s="4">
        <v>140000</v>
      </c>
      <c r="F36" s="4">
        <v>112500</v>
      </c>
      <c r="G36" s="1" t="s">
        <v>1216</v>
      </c>
      <c r="H36" t="s">
        <v>1441</v>
      </c>
      <c r="I36" s="1" t="s">
        <v>1196</v>
      </c>
      <c r="J36" s="1" t="s">
        <v>780</v>
      </c>
      <c r="K36" s="1" t="s">
        <v>89</v>
      </c>
      <c r="L36" s="1" t="s">
        <v>89</v>
      </c>
      <c r="M36" s="1" t="s">
        <v>54</v>
      </c>
      <c r="N36" s="1" t="s">
        <v>141</v>
      </c>
      <c r="O36" s="1" t="s">
        <v>91</v>
      </c>
      <c r="P36">
        <v>36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33</v>
      </c>
      <c r="AH36" s="1" t="str">
        <f t="shared" si="0"/>
        <v>Jr</v>
      </c>
      <c r="AI36" t="s">
        <v>72</v>
      </c>
      <c r="AJ36" s="4">
        <v>112.5</v>
      </c>
      <c r="AK36" s="1">
        <f>Table1[[#This Row],[avg_salary]]*1000</f>
        <v>112500</v>
      </c>
    </row>
    <row r="37" spans="1:37" x14ac:dyDescent="0.3">
      <c r="A37" s="1">
        <v>36</v>
      </c>
      <c r="B37" s="1" t="s">
        <v>142</v>
      </c>
      <c r="C37" s="1" t="s">
        <v>813</v>
      </c>
      <c r="D37" s="4">
        <v>77000</v>
      </c>
      <c r="E37" s="4">
        <v>135000</v>
      </c>
      <c r="F37" s="4">
        <v>106000</v>
      </c>
      <c r="G37" s="1" t="s">
        <v>1188</v>
      </c>
      <c r="H37" t="s">
        <v>1439</v>
      </c>
      <c r="I37" s="1" t="s">
        <v>1189</v>
      </c>
      <c r="J37" s="1" t="s">
        <v>780</v>
      </c>
      <c r="K37" s="1" t="s">
        <v>143</v>
      </c>
      <c r="L37" s="1" t="s">
        <v>74</v>
      </c>
      <c r="M37" s="1" t="s">
        <v>54</v>
      </c>
      <c r="N37" s="1" t="s">
        <v>144</v>
      </c>
      <c r="O37" s="1" t="s">
        <v>67</v>
      </c>
      <c r="P37">
        <v>44</v>
      </c>
      <c r="Q37" s="1">
        <v>1</v>
      </c>
      <c r="R37" s="1">
        <v>0</v>
      </c>
      <c r="S37" s="1">
        <v>0</v>
      </c>
      <c r="T37" s="1">
        <v>1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1</v>
      </c>
      <c r="AD37" s="1">
        <v>0</v>
      </c>
      <c r="AE37" s="1">
        <v>0</v>
      </c>
      <c r="AF37" s="1">
        <v>0</v>
      </c>
      <c r="AG37" s="1" t="s">
        <v>88</v>
      </c>
      <c r="AH37" s="1" t="str">
        <f t="shared" si="0"/>
        <v>Jr</v>
      </c>
      <c r="AI37" t="s">
        <v>72</v>
      </c>
      <c r="AJ37" s="4">
        <v>106</v>
      </c>
      <c r="AK37" s="1">
        <f>Table1[[#This Row],[avg_salary]]*1000</f>
        <v>106000</v>
      </c>
    </row>
    <row r="38" spans="1:37" x14ac:dyDescent="0.3">
      <c r="A38" s="1">
        <v>37</v>
      </c>
      <c r="B38" s="1" t="s">
        <v>28</v>
      </c>
      <c r="C38" s="1" t="s">
        <v>814</v>
      </c>
      <c r="D38" s="4">
        <v>82000</v>
      </c>
      <c r="E38" s="4">
        <v>132000</v>
      </c>
      <c r="F38" s="4">
        <v>107000</v>
      </c>
      <c r="G38" s="1" t="s">
        <v>1217</v>
      </c>
      <c r="H38" t="s">
        <v>1439</v>
      </c>
      <c r="I38" s="1" t="s">
        <v>1189</v>
      </c>
      <c r="J38" s="1" t="s">
        <v>780</v>
      </c>
      <c r="K38" s="1" t="s">
        <v>145</v>
      </c>
      <c r="L38" s="1" t="s">
        <v>74</v>
      </c>
      <c r="M38" s="1" t="s">
        <v>58</v>
      </c>
      <c r="N38" s="1" t="s">
        <v>146</v>
      </c>
      <c r="O38" s="1" t="s">
        <v>67</v>
      </c>
      <c r="P38">
        <v>55</v>
      </c>
      <c r="Q38" s="1">
        <v>1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</v>
      </c>
      <c r="AC38" s="1">
        <v>0</v>
      </c>
      <c r="AD38" s="1">
        <v>0</v>
      </c>
      <c r="AE38" s="1">
        <v>1</v>
      </c>
      <c r="AF38" s="1">
        <v>0</v>
      </c>
      <c r="AG38" s="1" t="s">
        <v>33</v>
      </c>
      <c r="AH38" s="1" t="str">
        <f t="shared" si="0"/>
        <v>Jr</v>
      </c>
      <c r="AI38" t="s">
        <v>34</v>
      </c>
      <c r="AJ38" s="4">
        <v>107</v>
      </c>
      <c r="AK38" s="1">
        <f>Table1[[#This Row],[avg_salary]]*1000</f>
        <v>107000</v>
      </c>
    </row>
    <row r="39" spans="1:37" x14ac:dyDescent="0.3">
      <c r="A39" s="1">
        <v>38</v>
      </c>
      <c r="B39" s="1" t="s">
        <v>28</v>
      </c>
      <c r="C39" s="1" t="s">
        <v>815</v>
      </c>
      <c r="D39" s="4">
        <v>83000</v>
      </c>
      <c r="E39" s="4">
        <v>137000</v>
      </c>
      <c r="F39" s="4">
        <v>110000</v>
      </c>
      <c r="G39" s="1" t="s">
        <v>1218</v>
      </c>
      <c r="H39" t="s">
        <v>1441</v>
      </c>
      <c r="I39" s="1" t="s">
        <v>1196</v>
      </c>
      <c r="J39" s="1" t="s">
        <v>780</v>
      </c>
      <c r="K39" s="1" t="s">
        <v>29</v>
      </c>
      <c r="L39" s="1" t="s">
        <v>29</v>
      </c>
      <c r="M39" s="1" t="s">
        <v>44</v>
      </c>
      <c r="N39" s="1" t="s">
        <v>147</v>
      </c>
      <c r="O39" s="1" t="s">
        <v>91</v>
      </c>
      <c r="P39">
        <v>31</v>
      </c>
      <c r="Q39" s="1">
        <v>1</v>
      </c>
      <c r="R39" s="1">
        <v>1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 t="s">
        <v>33</v>
      </c>
      <c r="AH39" s="1" t="str">
        <f t="shared" si="0"/>
        <v>Jr</v>
      </c>
      <c r="AI39" t="s">
        <v>72</v>
      </c>
      <c r="AJ39" s="4">
        <v>110</v>
      </c>
      <c r="AK39" s="1">
        <f>Table1[[#This Row],[avg_salary]]*1000</f>
        <v>110000</v>
      </c>
    </row>
    <row r="40" spans="1:37" x14ac:dyDescent="0.3">
      <c r="A40" s="1">
        <v>39</v>
      </c>
      <c r="B40" s="1" t="s">
        <v>148</v>
      </c>
      <c r="C40" s="1" t="s">
        <v>816</v>
      </c>
      <c r="D40" s="4">
        <v>115000</v>
      </c>
      <c r="E40" s="4">
        <v>180000</v>
      </c>
      <c r="F40" s="4">
        <v>147500</v>
      </c>
      <c r="G40" s="1" t="s">
        <v>1219</v>
      </c>
      <c r="H40" t="s">
        <v>1439</v>
      </c>
      <c r="I40" s="1" t="s">
        <v>1189</v>
      </c>
      <c r="J40" s="1" t="s">
        <v>781</v>
      </c>
      <c r="K40" s="1" t="s">
        <v>89</v>
      </c>
      <c r="L40" s="1" t="s">
        <v>89</v>
      </c>
      <c r="M40" s="1" t="s">
        <v>58</v>
      </c>
      <c r="N40" s="1" t="s">
        <v>149</v>
      </c>
      <c r="O40" s="1" t="s">
        <v>67</v>
      </c>
      <c r="P40">
        <v>50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 t="s">
        <v>33</v>
      </c>
      <c r="AH40" s="1" t="str">
        <f t="shared" si="0"/>
        <v>Sr</v>
      </c>
      <c r="AI40" t="s">
        <v>34</v>
      </c>
      <c r="AJ40" s="4">
        <v>147.5</v>
      </c>
      <c r="AK40" s="1">
        <f>Table1[[#This Row],[avg_salary]]*1000</f>
        <v>147500</v>
      </c>
    </row>
    <row r="41" spans="1:37" x14ac:dyDescent="0.3">
      <c r="A41" s="1">
        <v>40</v>
      </c>
      <c r="B41" s="1" t="s">
        <v>150</v>
      </c>
      <c r="C41" s="1" t="s">
        <v>817</v>
      </c>
      <c r="D41" s="4">
        <v>74000</v>
      </c>
      <c r="E41" s="4">
        <v>138000</v>
      </c>
      <c r="F41" s="4">
        <v>106000</v>
      </c>
      <c r="G41" s="1" t="s">
        <v>1220</v>
      </c>
      <c r="H41" t="s">
        <v>1183</v>
      </c>
      <c r="I41" s="1" t="s">
        <v>1184</v>
      </c>
      <c r="J41" s="1" t="s">
        <v>780</v>
      </c>
      <c r="K41" s="1" t="s">
        <v>108</v>
      </c>
      <c r="L41" s="1" t="s">
        <v>109</v>
      </c>
      <c r="M41" s="1" t="s">
        <v>44</v>
      </c>
      <c r="N41" s="1" t="s">
        <v>151</v>
      </c>
      <c r="O41" s="1" t="s">
        <v>56</v>
      </c>
      <c r="P41">
        <v>42</v>
      </c>
      <c r="Q41" s="1">
        <v>1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 t="s">
        <v>98</v>
      </c>
      <c r="AH41" s="1" t="str">
        <f t="shared" si="0"/>
        <v>Jr</v>
      </c>
      <c r="AI41" t="s">
        <v>34</v>
      </c>
      <c r="AJ41" s="4">
        <v>106</v>
      </c>
      <c r="AK41" s="1">
        <f>Table1[[#This Row],[avg_salary]]*1000</f>
        <v>106000</v>
      </c>
    </row>
    <row r="42" spans="1:37" x14ac:dyDescent="0.3">
      <c r="A42" s="1">
        <v>41</v>
      </c>
      <c r="B42" s="1" t="s">
        <v>86</v>
      </c>
      <c r="C42" s="1" t="s">
        <v>818</v>
      </c>
      <c r="D42" s="4">
        <v>64000</v>
      </c>
      <c r="E42" s="4">
        <v>112000</v>
      </c>
      <c r="F42" s="4">
        <v>88000</v>
      </c>
      <c r="G42" s="1" t="s">
        <v>1200</v>
      </c>
      <c r="H42" t="s">
        <v>1439</v>
      </c>
      <c r="I42" s="1" t="s">
        <v>1189</v>
      </c>
      <c r="J42" s="1" t="s">
        <v>780</v>
      </c>
      <c r="K42" s="1" t="s">
        <v>143</v>
      </c>
      <c r="L42" s="1" t="s">
        <v>74</v>
      </c>
      <c r="M42" s="1" t="s">
        <v>30</v>
      </c>
      <c r="N42" s="1" t="s">
        <v>152</v>
      </c>
      <c r="O42" s="1" t="s">
        <v>67</v>
      </c>
      <c r="P42">
        <v>58</v>
      </c>
      <c r="Q42" s="1">
        <v>1</v>
      </c>
      <c r="R42" s="1">
        <v>0</v>
      </c>
      <c r="S42" s="1">
        <v>1</v>
      </c>
      <c r="T42" s="1">
        <v>1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  <c r="AE42" s="1">
        <v>1</v>
      </c>
      <c r="AF42" s="1">
        <v>0</v>
      </c>
      <c r="AG42" s="1" t="s">
        <v>88</v>
      </c>
      <c r="AH42" s="1" t="str">
        <f t="shared" si="0"/>
        <v>Jr</v>
      </c>
      <c r="AI42" t="s">
        <v>72</v>
      </c>
      <c r="AJ42" s="4">
        <v>88</v>
      </c>
      <c r="AK42" s="1">
        <f>Table1[[#This Row],[avg_salary]]*1000</f>
        <v>88000</v>
      </c>
    </row>
    <row r="43" spans="1:37" x14ac:dyDescent="0.3">
      <c r="A43" s="1">
        <v>43</v>
      </c>
      <c r="B43" s="1" t="s">
        <v>150</v>
      </c>
      <c r="C43" s="1" t="s">
        <v>819</v>
      </c>
      <c r="D43" s="4">
        <v>68000</v>
      </c>
      <c r="E43" s="4">
        <v>129000</v>
      </c>
      <c r="F43" s="4">
        <v>98500</v>
      </c>
      <c r="G43" s="1" t="s">
        <v>1221</v>
      </c>
      <c r="H43" t="s">
        <v>1441</v>
      </c>
      <c r="I43" s="1" t="s">
        <v>1196</v>
      </c>
      <c r="J43" s="1" t="s">
        <v>780</v>
      </c>
      <c r="K43" s="1" t="s">
        <v>89</v>
      </c>
      <c r="L43" s="1" t="s">
        <v>74</v>
      </c>
      <c r="M43" s="1" t="s">
        <v>153</v>
      </c>
      <c r="N43" s="1" t="s">
        <v>154</v>
      </c>
      <c r="O43" s="1" t="s">
        <v>91</v>
      </c>
      <c r="P43">
        <v>59</v>
      </c>
      <c r="Q43" s="1">
        <v>0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 t="s">
        <v>98</v>
      </c>
      <c r="AH43" s="1" t="str">
        <f t="shared" si="0"/>
        <v>Jr</v>
      </c>
      <c r="AI43" t="s">
        <v>72</v>
      </c>
      <c r="AJ43" s="4">
        <v>98.5</v>
      </c>
      <c r="AK43" s="1">
        <f>Table1[[#This Row],[avg_salary]]*1000</f>
        <v>98500</v>
      </c>
    </row>
    <row r="44" spans="1:37" x14ac:dyDescent="0.3">
      <c r="A44" s="1">
        <v>44</v>
      </c>
      <c r="B44" s="1" t="s">
        <v>155</v>
      </c>
      <c r="C44" s="1" t="s">
        <v>800</v>
      </c>
      <c r="D44" s="4">
        <v>110000</v>
      </c>
      <c r="E44" s="4">
        <v>175000</v>
      </c>
      <c r="F44" s="4">
        <v>142500</v>
      </c>
      <c r="G44" s="1" t="s">
        <v>1200</v>
      </c>
      <c r="H44" t="s">
        <v>1439</v>
      </c>
      <c r="I44" s="1" t="s">
        <v>1189</v>
      </c>
      <c r="J44" s="1" t="s">
        <v>780</v>
      </c>
      <c r="K44" s="1" t="s">
        <v>103</v>
      </c>
      <c r="L44" s="1" t="s">
        <v>74</v>
      </c>
      <c r="M44" s="1" t="s">
        <v>54</v>
      </c>
      <c r="N44" s="1" t="s">
        <v>106</v>
      </c>
      <c r="O44" s="1" t="s">
        <v>67</v>
      </c>
      <c r="P44">
        <v>40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 t="s">
        <v>33</v>
      </c>
      <c r="AH44" s="1" t="str">
        <f t="shared" si="0"/>
        <v>Sr</v>
      </c>
      <c r="AI44" t="s">
        <v>34</v>
      </c>
      <c r="AJ44" s="4">
        <v>142.5</v>
      </c>
      <c r="AK44" s="1">
        <f>Table1[[#This Row],[avg_salary]]*1000</f>
        <v>142500</v>
      </c>
    </row>
    <row r="45" spans="1:37" x14ac:dyDescent="0.3">
      <c r="A45" s="1">
        <v>45</v>
      </c>
      <c r="B45" s="1" t="s">
        <v>156</v>
      </c>
      <c r="C45" s="1" t="s">
        <v>820</v>
      </c>
      <c r="D45" s="4">
        <v>52000</v>
      </c>
      <c r="E45" s="4">
        <v>113000</v>
      </c>
      <c r="F45" s="4">
        <v>82500</v>
      </c>
      <c r="G45" s="1" t="s">
        <v>1222</v>
      </c>
      <c r="H45" t="s">
        <v>1442</v>
      </c>
      <c r="I45" s="1" t="s">
        <v>1198</v>
      </c>
      <c r="J45" s="1" t="s">
        <v>781</v>
      </c>
      <c r="K45" s="1" t="s">
        <v>157</v>
      </c>
      <c r="L45" s="1" t="s">
        <v>158</v>
      </c>
      <c r="M45" s="1" t="s">
        <v>39</v>
      </c>
      <c r="N45" s="1" t="s">
        <v>159</v>
      </c>
      <c r="O45" s="1" t="s">
        <v>97</v>
      </c>
      <c r="P45">
        <v>49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71</v>
      </c>
      <c r="AH45" s="1" t="str">
        <f t="shared" si="0"/>
        <v>Jr</v>
      </c>
      <c r="AI45" t="s">
        <v>34</v>
      </c>
      <c r="AJ45" s="4">
        <v>82.5</v>
      </c>
      <c r="AK45" s="1">
        <f>Table1[[#This Row],[avg_salary]]*1000</f>
        <v>82500</v>
      </c>
    </row>
    <row r="46" spans="1:37" x14ac:dyDescent="0.3">
      <c r="A46" s="1">
        <v>46</v>
      </c>
      <c r="B46" s="1" t="s">
        <v>148</v>
      </c>
      <c r="C46" s="1" t="s">
        <v>1408</v>
      </c>
      <c r="D46" s="4">
        <v>110000</v>
      </c>
      <c r="E46" s="4">
        <v>150000</v>
      </c>
      <c r="F46" s="4">
        <v>130000</v>
      </c>
      <c r="G46" s="1" t="s">
        <v>1203</v>
      </c>
      <c r="H46" t="s">
        <v>1444</v>
      </c>
      <c r="I46" s="1" t="s">
        <v>1204</v>
      </c>
      <c r="J46" s="1" t="s">
        <v>781</v>
      </c>
      <c r="K46" s="1" t="s">
        <v>57</v>
      </c>
      <c r="L46" s="1" t="s">
        <v>57</v>
      </c>
      <c r="M46" s="1" t="s">
        <v>39</v>
      </c>
      <c r="N46" s="1" t="s">
        <v>160</v>
      </c>
      <c r="O46" s="1" t="s">
        <v>120</v>
      </c>
      <c r="P46">
        <v>60</v>
      </c>
      <c r="Q46" s="1">
        <v>1</v>
      </c>
      <c r="R46" s="1">
        <v>1</v>
      </c>
      <c r="S46" s="1">
        <v>0</v>
      </c>
      <c r="T46" s="1">
        <v>1</v>
      </c>
      <c r="U46" s="1">
        <v>1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1</v>
      </c>
      <c r="AB46" s="1">
        <v>1</v>
      </c>
      <c r="AC46" s="1">
        <v>1</v>
      </c>
      <c r="AD46" s="1">
        <v>0</v>
      </c>
      <c r="AE46" s="1">
        <v>0</v>
      </c>
      <c r="AF46" s="1">
        <v>0</v>
      </c>
      <c r="AG46" s="1" t="s">
        <v>33</v>
      </c>
      <c r="AH46" s="1" t="str">
        <f t="shared" si="0"/>
        <v>Sr</v>
      </c>
      <c r="AI46" t="s">
        <v>34</v>
      </c>
      <c r="AJ46" s="4">
        <v>130</v>
      </c>
      <c r="AK46" s="1">
        <f>Table1[[#This Row],[avg_salary]]*1000</f>
        <v>130000</v>
      </c>
    </row>
    <row r="47" spans="1:37" x14ac:dyDescent="0.3">
      <c r="A47" s="1">
        <v>48</v>
      </c>
      <c r="B47" s="1" t="s">
        <v>28</v>
      </c>
      <c r="C47" s="1" t="s">
        <v>1415</v>
      </c>
      <c r="D47" s="4">
        <v>150000</v>
      </c>
      <c r="E47" s="4">
        <v>160000</v>
      </c>
      <c r="F47" s="4">
        <v>155000</v>
      </c>
      <c r="G47" s="1" t="s">
        <v>1223</v>
      </c>
      <c r="H47" t="s">
        <v>1449</v>
      </c>
      <c r="I47" s="1" t="s">
        <v>1224</v>
      </c>
      <c r="J47" s="1" t="s">
        <v>780</v>
      </c>
      <c r="K47" s="1" t="s">
        <v>103</v>
      </c>
      <c r="L47" s="1" t="s">
        <v>74</v>
      </c>
      <c r="M47" s="1" t="s">
        <v>54</v>
      </c>
      <c r="N47" s="1" t="s">
        <v>161</v>
      </c>
      <c r="O47" s="1" t="s">
        <v>162</v>
      </c>
      <c r="P47">
        <v>34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 t="s">
        <v>33</v>
      </c>
      <c r="AH47" s="1" t="str">
        <f t="shared" si="0"/>
        <v>Sr</v>
      </c>
      <c r="AI47" t="s">
        <v>34</v>
      </c>
      <c r="AJ47" s="4">
        <v>155</v>
      </c>
      <c r="AK47" s="1">
        <f>Table1[[#This Row],[avg_salary]]*1000</f>
        <v>155000</v>
      </c>
    </row>
    <row r="48" spans="1:37" x14ac:dyDescent="0.3">
      <c r="A48" s="1">
        <v>49</v>
      </c>
      <c r="B48" s="1" t="s">
        <v>163</v>
      </c>
      <c r="C48" s="1" t="s">
        <v>821</v>
      </c>
      <c r="D48" s="4">
        <v>158000</v>
      </c>
      <c r="E48" s="4">
        <v>211000</v>
      </c>
      <c r="F48" s="4">
        <v>184500</v>
      </c>
      <c r="G48" s="1" t="s">
        <v>1225</v>
      </c>
      <c r="H48" t="s">
        <v>1223</v>
      </c>
      <c r="I48" s="1" t="s">
        <v>1182</v>
      </c>
      <c r="J48" s="1" t="s">
        <v>781</v>
      </c>
      <c r="K48" s="1" t="s">
        <v>143</v>
      </c>
      <c r="L48" s="1" t="s">
        <v>74</v>
      </c>
      <c r="M48" s="1" t="s">
        <v>84</v>
      </c>
      <c r="N48" s="1" t="s">
        <v>164</v>
      </c>
      <c r="O48" s="1" t="s">
        <v>52</v>
      </c>
      <c r="P48">
        <v>49</v>
      </c>
      <c r="Q48" s="1">
        <v>1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 t="s">
        <v>33</v>
      </c>
      <c r="AH48" s="1" t="str">
        <f t="shared" si="0"/>
        <v>Sr</v>
      </c>
      <c r="AI48" t="s">
        <v>34</v>
      </c>
      <c r="AJ48" s="4">
        <v>184.5</v>
      </c>
      <c r="AK48" s="1">
        <f>Table1[[#This Row],[avg_salary]]*1000</f>
        <v>184500</v>
      </c>
    </row>
    <row r="49" spans="1:37" x14ac:dyDescent="0.3">
      <c r="A49" s="1">
        <v>50</v>
      </c>
      <c r="B49" s="1" t="s">
        <v>129</v>
      </c>
      <c r="C49" s="1" t="s">
        <v>822</v>
      </c>
      <c r="D49" s="4">
        <v>20000</v>
      </c>
      <c r="E49" s="4">
        <v>39000</v>
      </c>
      <c r="F49" s="4">
        <v>29500</v>
      </c>
      <c r="G49" s="1" t="s">
        <v>1226</v>
      </c>
      <c r="H49" t="s">
        <v>1443</v>
      </c>
      <c r="I49" s="1" t="s">
        <v>1202</v>
      </c>
      <c r="J49" s="1" t="s">
        <v>780</v>
      </c>
      <c r="K49" s="1" t="s">
        <v>103</v>
      </c>
      <c r="L49" s="1" t="s">
        <v>74</v>
      </c>
      <c r="M49" s="1" t="s">
        <v>39</v>
      </c>
      <c r="N49" s="1" t="s">
        <v>165</v>
      </c>
      <c r="O49" s="1" t="s">
        <v>111</v>
      </c>
      <c r="P49">
        <v>26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 t="s">
        <v>88</v>
      </c>
      <c r="AH49" s="1" t="str">
        <f t="shared" si="0"/>
        <v>Jr</v>
      </c>
      <c r="AI49" t="s">
        <v>34</v>
      </c>
      <c r="AJ49" s="4">
        <v>29.5</v>
      </c>
      <c r="AK49" s="1">
        <f>Table1[[#This Row],[avg_salary]]*1000</f>
        <v>29500</v>
      </c>
    </row>
    <row r="50" spans="1:37" x14ac:dyDescent="0.3">
      <c r="A50" s="1">
        <v>51</v>
      </c>
      <c r="B50" s="1" t="s">
        <v>166</v>
      </c>
      <c r="C50" s="1" t="s">
        <v>823</v>
      </c>
      <c r="D50" s="4">
        <v>56000</v>
      </c>
      <c r="E50" s="4">
        <v>117000</v>
      </c>
      <c r="F50" s="4">
        <v>86500</v>
      </c>
      <c r="G50" s="1" t="s">
        <v>1227</v>
      </c>
      <c r="H50" t="s">
        <v>1450</v>
      </c>
      <c r="I50" s="1" t="s">
        <v>1228</v>
      </c>
      <c r="J50" s="1" t="s">
        <v>780</v>
      </c>
      <c r="K50" s="1" t="s">
        <v>29</v>
      </c>
      <c r="L50" s="1" t="s">
        <v>29</v>
      </c>
      <c r="M50" s="1" t="s">
        <v>44</v>
      </c>
      <c r="N50" s="1" t="s">
        <v>167</v>
      </c>
      <c r="O50" s="1" t="s">
        <v>168</v>
      </c>
      <c r="P50">
        <v>21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 t="s">
        <v>71</v>
      </c>
      <c r="AH50" s="1" t="str">
        <f t="shared" si="0"/>
        <v>Jr</v>
      </c>
      <c r="AI50" t="s">
        <v>34</v>
      </c>
      <c r="AJ50" s="4">
        <v>86.5</v>
      </c>
      <c r="AK50" s="1">
        <f>Table1[[#This Row],[avg_salary]]*1000</f>
        <v>86500</v>
      </c>
    </row>
    <row r="51" spans="1:37" x14ac:dyDescent="0.3">
      <c r="A51" s="1">
        <v>52</v>
      </c>
      <c r="B51" s="1" t="s">
        <v>169</v>
      </c>
      <c r="C51" s="1" t="s">
        <v>824</v>
      </c>
      <c r="D51" s="4">
        <v>63000</v>
      </c>
      <c r="E51" s="4">
        <v>99000</v>
      </c>
      <c r="F51" s="4">
        <v>81000</v>
      </c>
      <c r="G51" s="1" t="s">
        <v>1229</v>
      </c>
      <c r="H51" t="s">
        <v>1444</v>
      </c>
      <c r="I51" s="1" t="s">
        <v>1204</v>
      </c>
      <c r="J51" s="1" t="s">
        <v>781</v>
      </c>
      <c r="K51" s="1" t="s">
        <v>170</v>
      </c>
      <c r="L51" s="1" t="s">
        <v>158</v>
      </c>
      <c r="M51" s="1" t="s">
        <v>84</v>
      </c>
      <c r="N51" s="1" t="s">
        <v>171</v>
      </c>
      <c r="O51" s="1" t="s">
        <v>120</v>
      </c>
      <c r="P51">
        <v>27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 t="s">
        <v>33</v>
      </c>
      <c r="AH51" s="1" t="str">
        <f t="shared" si="0"/>
        <v>Jr</v>
      </c>
      <c r="AI51" t="s">
        <v>34</v>
      </c>
      <c r="AJ51" s="4">
        <v>81</v>
      </c>
      <c r="AK51" s="1">
        <f>Table1[[#This Row],[avg_salary]]*1000</f>
        <v>81000</v>
      </c>
    </row>
    <row r="52" spans="1:37" x14ac:dyDescent="0.3">
      <c r="A52" s="1">
        <v>54</v>
      </c>
      <c r="B52" s="1" t="s">
        <v>28</v>
      </c>
      <c r="C52" s="1" t="s">
        <v>825</v>
      </c>
      <c r="D52" s="4">
        <v>68000</v>
      </c>
      <c r="E52" s="4">
        <v>114000</v>
      </c>
      <c r="F52" s="4">
        <v>91000</v>
      </c>
      <c r="G52" s="1" t="s">
        <v>1230</v>
      </c>
      <c r="H52" t="s">
        <v>1437</v>
      </c>
      <c r="I52" s="1" t="s">
        <v>1180</v>
      </c>
      <c r="J52" s="1" t="s">
        <v>93</v>
      </c>
      <c r="K52" s="1" t="s">
        <v>53</v>
      </c>
      <c r="L52" s="1" t="s">
        <v>43</v>
      </c>
      <c r="M52" s="1" t="s">
        <v>54</v>
      </c>
      <c r="N52" s="1" t="s">
        <v>172</v>
      </c>
      <c r="O52" s="1" t="s">
        <v>46</v>
      </c>
      <c r="P52">
        <v>54</v>
      </c>
      <c r="Q52" s="1">
        <v>1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 t="s">
        <v>33</v>
      </c>
      <c r="AH52" s="1" t="str">
        <f t="shared" si="0"/>
        <v>Jr</v>
      </c>
      <c r="AI52" t="s">
        <v>72</v>
      </c>
      <c r="AJ52" s="4">
        <v>91</v>
      </c>
      <c r="AK52" s="1">
        <f>Table1[[#This Row],[avg_salary]]*1000</f>
        <v>91000</v>
      </c>
    </row>
    <row r="53" spans="1:37" x14ac:dyDescent="0.3">
      <c r="A53" s="1">
        <v>55</v>
      </c>
      <c r="B53" s="1" t="s">
        <v>173</v>
      </c>
      <c r="C53" s="1" t="s">
        <v>786</v>
      </c>
      <c r="D53" s="4">
        <v>86000</v>
      </c>
      <c r="E53" s="4">
        <v>143000</v>
      </c>
      <c r="F53" s="4">
        <v>114500</v>
      </c>
      <c r="G53" s="1" t="s">
        <v>1231</v>
      </c>
      <c r="H53" t="s">
        <v>1441</v>
      </c>
      <c r="I53" s="1" t="s">
        <v>1196</v>
      </c>
      <c r="J53" s="1" t="s">
        <v>780</v>
      </c>
      <c r="K53" s="1" t="s">
        <v>108</v>
      </c>
      <c r="L53" s="1" t="s">
        <v>109</v>
      </c>
      <c r="M53" s="1" t="s">
        <v>84</v>
      </c>
      <c r="N53" s="1" t="s">
        <v>174</v>
      </c>
      <c r="O53" s="1" t="s">
        <v>91</v>
      </c>
      <c r="P53">
        <v>39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 t="s">
        <v>33</v>
      </c>
      <c r="AH53" s="1" t="str">
        <f t="shared" si="0"/>
        <v>Sr</v>
      </c>
      <c r="AI53" t="s">
        <v>34</v>
      </c>
      <c r="AJ53" s="4">
        <v>114.5</v>
      </c>
      <c r="AK53" s="1">
        <f>Table1[[#This Row],[avg_salary]]*1000</f>
        <v>114500</v>
      </c>
    </row>
    <row r="54" spans="1:37" x14ac:dyDescent="0.3">
      <c r="A54" s="1">
        <v>56</v>
      </c>
      <c r="B54" s="1" t="s">
        <v>175</v>
      </c>
      <c r="C54" s="1" t="s">
        <v>826</v>
      </c>
      <c r="D54" s="4">
        <v>41000</v>
      </c>
      <c r="E54" s="4">
        <v>95000</v>
      </c>
      <c r="F54" s="4">
        <v>68000</v>
      </c>
      <c r="G54" s="1" t="s">
        <v>1232</v>
      </c>
      <c r="H54" t="s">
        <v>1451</v>
      </c>
      <c r="I54" s="1" t="s">
        <v>1233</v>
      </c>
      <c r="J54" s="1" t="s">
        <v>780</v>
      </c>
      <c r="K54" s="1" t="s">
        <v>29</v>
      </c>
      <c r="L54" s="1" t="s">
        <v>29</v>
      </c>
      <c r="M54" s="1" t="s">
        <v>44</v>
      </c>
      <c r="N54" s="1" t="s">
        <v>176</v>
      </c>
      <c r="O54" s="1" t="s">
        <v>177</v>
      </c>
      <c r="P54">
        <v>46</v>
      </c>
      <c r="Q54" s="1">
        <v>1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 t="s">
        <v>33</v>
      </c>
      <c r="AH54" s="1" t="str">
        <f t="shared" si="0"/>
        <v>Jr</v>
      </c>
      <c r="AI54" t="s">
        <v>34</v>
      </c>
      <c r="AJ54" s="4">
        <v>68</v>
      </c>
      <c r="AK54" s="1">
        <f>Table1[[#This Row],[avg_salary]]*1000</f>
        <v>68000</v>
      </c>
    </row>
    <row r="55" spans="1:37" x14ac:dyDescent="0.3">
      <c r="A55" s="1">
        <v>57</v>
      </c>
      <c r="B55" s="1" t="s">
        <v>28</v>
      </c>
      <c r="C55" s="1" t="s">
        <v>827</v>
      </c>
      <c r="D55" s="4">
        <v>86000</v>
      </c>
      <c r="E55" s="4">
        <v>144000</v>
      </c>
      <c r="F55" s="4">
        <v>115000</v>
      </c>
      <c r="G55" s="1" t="s">
        <v>1234</v>
      </c>
      <c r="H55" t="s">
        <v>1183</v>
      </c>
      <c r="I55" s="1" t="s">
        <v>1184</v>
      </c>
      <c r="J55" s="1" t="s">
        <v>781</v>
      </c>
      <c r="K55" s="1" t="s">
        <v>114</v>
      </c>
      <c r="L55" s="1" t="s">
        <v>109</v>
      </c>
      <c r="M55" s="1" t="s">
        <v>84</v>
      </c>
      <c r="N55" s="1" t="s">
        <v>178</v>
      </c>
      <c r="O55" s="1" t="s">
        <v>56</v>
      </c>
      <c r="P55">
        <v>30</v>
      </c>
      <c r="Q55" s="1">
        <v>1</v>
      </c>
      <c r="R55" s="1">
        <v>0</v>
      </c>
      <c r="S55" s="1">
        <v>0</v>
      </c>
      <c r="T55" s="1">
        <v>1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 t="s">
        <v>33</v>
      </c>
      <c r="AH55" s="1" t="str">
        <f t="shared" si="0"/>
        <v>Sr</v>
      </c>
      <c r="AI55" t="s">
        <v>34</v>
      </c>
      <c r="AJ55" s="4">
        <v>115</v>
      </c>
      <c r="AK55" s="1">
        <f>Table1[[#This Row],[avg_salary]]*1000</f>
        <v>115000</v>
      </c>
    </row>
    <row r="56" spans="1:37" x14ac:dyDescent="0.3">
      <c r="A56" s="1">
        <v>58</v>
      </c>
      <c r="B56" s="1" t="s">
        <v>28</v>
      </c>
      <c r="C56" s="1" t="s">
        <v>828</v>
      </c>
      <c r="D56" s="4">
        <v>80000</v>
      </c>
      <c r="E56" s="4">
        <v>139000</v>
      </c>
      <c r="F56" s="4">
        <v>109500</v>
      </c>
      <c r="G56" s="1" t="s">
        <v>1235</v>
      </c>
      <c r="H56" t="s">
        <v>1439</v>
      </c>
      <c r="I56" s="1" t="s">
        <v>1189</v>
      </c>
      <c r="J56" s="1" t="s">
        <v>781</v>
      </c>
      <c r="K56" s="1" t="s">
        <v>29</v>
      </c>
      <c r="L56" s="1" t="s">
        <v>29</v>
      </c>
      <c r="M56" s="1" t="s">
        <v>84</v>
      </c>
      <c r="N56" s="1" t="s">
        <v>179</v>
      </c>
      <c r="O56" s="1" t="s">
        <v>67</v>
      </c>
      <c r="P56">
        <v>60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 t="s">
        <v>33</v>
      </c>
      <c r="AH56" s="1" t="str">
        <f t="shared" si="0"/>
        <v>Jr</v>
      </c>
      <c r="AI56" t="s">
        <v>72</v>
      </c>
      <c r="AJ56" s="4">
        <v>109.5</v>
      </c>
      <c r="AK56" s="1">
        <f>Table1[[#This Row],[avg_salary]]*1000</f>
        <v>109500</v>
      </c>
    </row>
    <row r="57" spans="1:37" x14ac:dyDescent="0.3">
      <c r="A57" s="1">
        <v>59</v>
      </c>
      <c r="B57" s="1" t="s">
        <v>28</v>
      </c>
      <c r="C57" s="1" t="s">
        <v>829</v>
      </c>
      <c r="D57" s="4">
        <v>56000</v>
      </c>
      <c r="E57" s="4">
        <v>95000</v>
      </c>
      <c r="F57" s="4">
        <v>75500</v>
      </c>
      <c r="G57" s="1" t="s">
        <v>1175</v>
      </c>
      <c r="H57" t="s">
        <v>1435</v>
      </c>
      <c r="I57" s="1" t="s">
        <v>1176</v>
      </c>
      <c r="J57" s="1" t="s">
        <v>781</v>
      </c>
      <c r="K57" s="1" t="s">
        <v>89</v>
      </c>
      <c r="L57" s="1" t="s">
        <v>89</v>
      </c>
      <c r="M57" s="1" t="s">
        <v>58</v>
      </c>
      <c r="N57" s="1" t="s">
        <v>149</v>
      </c>
      <c r="O57" s="1" t="s">
        <v>32</v>
      </c>
      <c r="P57">
        <v>22</v>
      </c>
      <c r="Q57" s="1">
        <v>1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 t="s">
        <v>33</v>
      </c>
      <c r="AH57" s="1" t="str">
        <f t="shared" si="0"/>
        <v>Jr</v>
      </c>
      <c r="AI57" t="s">
        <v>34</v>
      </c>
      <c r="AJ57" s="4">
        <v>75.5</v>
      </c>
      <c r="AK57" s="1">
        <f>Table1[[#This Row],[avg_salary]]*1000</f>
        <v>75500</v>
      </c>
    </row>
    <row r="58" spans="1:37" x14ac:dyDescent="0.3">
      <c r="A58" s="1">
        <v>60</v>
      </c>
      <c r="B58" s="1" t="s">
        <v>28</v>
      </c>
      <c r="C58" s="1" t="s">
        <v>830</v>
      </c>
      <c r="D58" s="4">
        <v>120000</v>
      </c>
      <c r="E58" s="4">
        <v>189000</v>
      </c>
      <c r="F58" s="4">
        <v>154500</v>
      </c>
      <c r="G58" s="1" t="s">
        <v>1200</v>
      </c>
      <c r="H58" t="s">
        <v>1439</v>
      </c>
      <c r="I58" s="1" t="s">
        <v>1189</v>
      </c>
      <c r="J58" s="1" t="s">
        <v>780</v>
      </c>
      <c r="K58" s="1" t="s">
        <v>103</v>
      </c>
      <c r="L58" s="1" t="s">
        <v>74</v>
      </c>
      <c r="M58" s="1" t="s">
        <v>54</v>
      </c>
      <c r="N58" s="1" t="s">
        <v>180</v>
      </c>
      <c r="O58" s="1" t="s">
        <v>67</v>
      </c>
      <c r="P58">
        <v>31</v>
      </c>
      <c r="Q58" s="1">
        <v>1</v>
      </c>
      <c r="R58" s="1">
        <v>1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 t="s">
        <v>33</v>
      </c>
      <c r="AH58" s="1" t="str">
        <f t="shared" si="0"/>
        <v>Sr</v>
      </c>
      <c r="AI58" t="s">
        <v>72</v>
      </c>
      <c r="AJ58" s="4">
        <v>154.5</v>
      </c>
      <c r="AK58" s="1">
        <f>Table1[[#This Row],[avg_salary]]*1000</f>
        <v>154500</v>
      </c>
    </row>
    <row r="59" spans="1:37" x14ac:dyDescent="0.3">
      <c r="A59" s="1">
        <v>61</v>
      </c>
      <c r="B59" s="1" t="s">
        <v>28</v>
      </c>
      <c r="C59" s="1" t="s">
        <v>831</v>
      </c>
      <c r="D59" s="4">
        <v>111000</v>
      </c>
      <c r="E59" s="4">
        <v>176000</v>
      </c>
      <c r="F59" s="4">
        <v>143500</v>
      </c>
      <c r="G59" s="1" t="s">
        <v>1236</v>
      </c>
      <c r="H59" t="s">
        <v>1452</v>
      </c>
      <c r="I59" s="1" t="s">
        <v>1237</v>
      </c>
      <c r="J59" s="1" t="s">
        <v>780</v>
      </c>
      <c r="K59" s="1" t="s">
        <v>143</v>
      </c>
      <c r="L59" s="1" t="s">
        <v>74</v>
      </c>
      <c r="M59" s="1" t="s">
        <v>54</v>
      </c>
      <c r="N59" s="1" t="s">
        <v>181</v>
      </c>
      <c r="O59" s="1" t="s">
        <v>182</v>
      </c>
      <c r="P59">
        <v>54</v>
      </c>
      <c r="Q59" s="1">
        <v>1</v>
      </c>
      <c r="R59" s="1">
        <v>1</v>
      </c>
      <c r="S59" s="1">
        <v>0</v>
      </c>
      <c r="T59" s="1">
        <v>0</v>
      </c>
      <c r="U59" s="1">
        <v>1</v>
      </c>
      <c r="V59" s="1">
        <v>0</v>
      </c>
      <c r="W59" s="1">
        <v>1</v>
      </c>
      <c r="X59" s="1">
        <v>0</v>
      </c>
      <c r="Y59" s="1">
        <v>1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33</v>
      </c>
      <c r="AH59" s="1" t="str">
        <f t="shared" si="0"/>
        <v>Sr</v>
      </c>
      <c r="AI59" t="s">
        <v>34</v>
      </c>
      <c r="AJ59" s="4">
        <v>143.5</v>
      </c>
      <c r="AK59" s="1">
        <f>Table1[[#This Row],[avg_salary]]*1000</f>
        <v>143500</v>
      </c>
    </row>
    <row r="60" spans="1:37" x14ac:dyDescent="0.3">
      <c r="A60" s="1">
        <v>62</v>
      </c>
      <c r="B60" s="1" t="s">
        <v>28</v>
      </c>
      <c r="C60" s="1" t="s">
        <v>788</v>
      </c>
      <c r="D60" s="4">
        <v>54000</v>
      </c>
      <c r="E60" s="4">
        <v>93000</v>
      </c>
      <c r="F60" s="4">
        <v>73500</v>
      </c>
      <c r="G60" s="1" t="s">
        <v>1187</v>
      </c>
      <c r="H60" t="s">
        <v>1436</v>
      </c>
      <c r="I60" s="1" t="s">
        <v>1178</v>
      </c>
      <c r="J60" s="1" t="s">
        <v>780</v>
      </c>
      <c r="K60" s="1" t="s">
        <v>61</v>
      </c>
      <c r="L60" s="1" t="s">
        <v>62</v>
      </c>
      <c r="M60" s="1" t="s">
        <v>54</v>
      </c>
      <c r="N60" s="1" t="s">
        <v>63</v>
      </c>
      <c r="O60" s="1" t="s">
        <v>41</v>
      </c>
      <c r="P60">
        <v>52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33</v>
      </c>
      <c r="AH60" s="1" t="str">
        <f t="shared" si="0"/>
        <v>Jr</v>
      </c>
      <c r="AI60" t="s">
        <v>34</v>
      </c>
      <c r="AJ60" s="4">
        <v>73.5</v>
      </c>
      <c r="AK60" s="1">
        <f>Table1[[#This Row],[avg_salary]]*1000</f>
        <v>73500</v>
      </c>
    </row>
    <row r="61" spans="1:37" x14ac:dyDescent="0.3">
      <c r="A61" s="1">
        <v>63</v>
      </c>
      <c r="B61" s="1" t="s">
        <v>28</v>
      </c>
      <c r="C61" s="1" t="s">
        <v>787</v>
      </c>
      <c r="D61" s="4">
        <v>71000</v>
      </c>
      <c r="E61" s="4">
        <v>119000</v>
      </c>
      <c r="F61" s="4">
        <v>95000</v>
      </c>
      <c r="G61" s="1" t="s">
        <v>1185</v>
      </c>
      <c r="H61" t="s">
        <v>1438</v>
      </c>
      <c r="I61" s="1" t="s">
        <v>1186</v>
      </c>
      <c r="J61" s="1" t="s">
        <v>781</v>
      </c>
      <c r="K61" s="1" t="s">
        <v>57</v>
      </c>
      <c r="L61" s="1" t="s">
        <v>57</v>
      </c>
      <c r="M61" s="1" t="s">
        <v>58</v>
      </c>
      <c r="N61" s="1" t="s">
        <v>59</v>
      </c>
      <c r="O61" s="1" t="s">
        <v>60</v>
      </c>
      <c r="P61">
        <v>39</v>
      </c>
      <c r="Q61" s="1">
        <v>1</v>
      </c>
      <c r="R61" s="1">
        <v>0</v>
      </c>
      <c r="S61" s="1">
        <v>1</v>
      </c>
      <c r="T61" s="1">
        <v>1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1</v>
      </c>
      <c r="AF61" s="1">
        <v>0</v>
      </c>
      <c r="AG61" s="1" t="s">
        <v>33</v>
      </c>
      <c r="AH61" s="1" t="str">
        <f t="shared" si="0"/>
        <v>Jr</v>
      </c>
      <c r="AI61" t="s">
        <v>72</v>
      </c>
      <c r="AJ61" s="4">
        <v>95</v>
      </c>
      <c r="AK61" s="1">
        <f>Table1[[#This Row],[avg_salary]]*1000</f>
        <v>95000</v>
      </c>
    </row>
    <row r="62" spans="1:37" x14ac:dyDescent="0.3">
      <c r="A62" s="1">
        <v>65</v>
      </c>
      <c r="B62" s="1" t="s">
        <v>148</v>
      </c>
      <c r="C62" s="1" t="s">
        <v>814</v>
      </c>
      <c r="D62" s="4">
        <v>82000</v>
      </c>
      <c r="E62" s="4">
        <v>132000</v>
      </c>
      <c r="F62" s="4">
        <v>107000</v>
      </c>
      <c r="G62" s="1" t="s">
        <v>1238</v>
      </c>
      <c r="H62" t="s">
        <v>1450</v>
      </c>
      <c r="I62" s="1" t="s">
        <v>1228</v>
      </c>
      <c r="J62" s="1" t="s">
        <v>93</v>
      </c>
      <c r="K62" s="1" t="s">
        <v>183</v>
      </c>
      <c r="L62" s="1" t="s">
        <v>184</v>
      </c>
      <c r="M62" s="1" t="s">
        <v>54</v>
      </c>
      <c r="N62" s="1" t="s">
        <v>185</v>
      </c>
      <c r="O62" s="1" t="s">
        <v>168</v>
      </c>
      <c r="P62">
        <v>59</v>
      </c>
      <c r="Q62" s="1">
        <v>1</v>
      </c>
      <c r="R62" s="1">
        <v>0</v>
      </c>
      <c r="S62" s="1">
        <v>1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1</v>
      </c>
      <c r="AD62" s="1">
        <v>0</v>
      </c>
      <c r="AE62" s="1">
        <v>0</v>
      </c>
      <c r="AF62" s="1">
        <v>0</v>
      </c>
      <c r="AG62" s="1" t="s">
        <v>33</v>
      </c>
      <c r="AH62" s="1" t="str">
        <f t="shared" si="0"/>
        <v>Jr</v>
      </c>
      <c r="AI62" t="s">
        <v>34</v>
      </c>
      <c r="AJ62" s="4">
        <v>107</v>
      </c>
      <c r="AK62" s="1">
        <f>Table1[[#This Row],[avg_salary]]*1000</f>
        <v>107000</v>
      </c>
    </row>
    <row r="63" spans="1:37" x14ac:dyDescent="0.3">
      <c r="A63" s="1">
        <v>66</v>
      </c>
      <c r="B63" s="1" t="s">
        <v>28</v>
      </c>
      <c r="C63" s="1" t="s">
        <v>832</v>
      </c>
      <c r="D63" s="4">
        <v>84000</v>
      </c>
      <c r="E63" s="4">
        <v>146000</v>
      </c>
      <c r="F63" s="4">
        <v>115000</v>
      </c>
      <c r="G63" s="1" t="s">
        <v>1183</v>
      </c>
      <c r="H63" t="s">
        <v>1183</v>
      </c>
      <c r="I63" s="1" t="s">
        <v>1184</v>
      </c>
      <c r="J63" s="1" t="s">
        <v>780</v>
      </c>
      <c r="K63" s="1" t="s">
        <v>64</v>
      </c>
      <c r="L63" s="1" t="s">
        <v>43</v>
      </c>
      <c r="M63" s="1" t="s">
        <v>121</v>
      </c>
      <c r="N63" s="1" t="s">
        <v>186</v>
      </c>
      <c r="O63" s="1" t="s">
        <v>56</v>
      </c>
      <c r="P63">
        <v>19</v>
      </c>
      <c r="Q63" s="1">
        <v>1</v>
      </c>
      <c r="R63" s="1">
        <v>1</v>
      </c>
      <c r="S63" s="1">
        <v>1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 t="s">
        <v>33</v>
      </c>
      <c r="AH63" s="1" t="str">
        <f t="shared" si="0"/>
        <v>Sr</v>
      </c>
      <c r="AI63" t="s">
        <v>34</v>
      </c>
      <c r="AJ63" s="4">
        <v>115</v>
      </c>
      <c r="AK63" s="1">
        <f>Table1[[#This Row],[avg_salary]]*1000</f>
        <v>115000</v>
      </c>
    </row>
    <row r="64" spans="1:37" x14ac:dyDescent="0.3">
      <c r="A64" s="1">
        <v>67</v>
      </c>
      <c r="B64" s="1" t="s">
        <v>187</v>
      </c>
      <c r="C64" s="1" t="s">
        <v>833</v>
      </c>
      <c r="D64" s="4">
        <v>107000</v>
      </c>
      <c r="E64" s="4">
        <v>172000</v>
      </c>
      <c r="F64" s="4">
        <v>139500</v>
      </c>
      <c r="G64" s="1" t="s">
        <v>1239</v>
      </c>
      <c r="H64" t="s">
        <v>1439</v>
      </c>
      <c r="I64" s="1" t="s">
        <v>1189</v>
      </c>
      <c r="J64" s="1" t="s">
        <v>781</v>
      </c>
      <c r="K64" s="1" t="s">
        <v>188</v>
      </c>
      <c r="L64" s="1" t="s">
        <v>62</v>
      </c>
      <c r="M64" s="1" t="s">
        <v>30</v>
      </c>
      <c r="N64" s="1" t="s">
        <v>189</v>
      </c>
      <c r="O64" s="1" t="s">
        <v>67</v>
      </c>
      <c r="P64">
        <v>21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 t="s">
        <v>33</v>
      </c>
      <c r="AH64" s="1" t="str">
        <f t="shared" si="0"/>
        <v>Sr</v>
      </c>
      <c r="AI64" t="s">
        <v>34</v>
      </c>
      <c r="AJ64" s="4">
        <v>139.5</v>
      </c>
      <c r="AK64" s="1">
        <f>Table1[[#This Row],[avg_salary]]*1000</f>
        <v>139500</v>
      </c>
    </row>
    <row r="65" spans="1:37" x14ac:dyDescent="0.3">
      <c r="A65" s="1">
        <v>68</v>
      </c>
      <c r="B65" s="1" t="s">
        <v>190</v>
      </c>
      <c r="C65" s="1" t="s">
        <v>834</v>
      </c>
      <c r="D65" s="4">
        <v>49000</v>
      </c>
      <c r="E65" s="4">
        <v>85000</v>
      </c>
      <c r="F65" s="4">
        <v>67000</v>
      </c>
      <c r="G65" s="1" t="s">
        <v>1181</v>
      </c>
      <c r="H65" t="s">
        <v>1223</v>
      </c>
      <c r="I65" s="1" t="s">
        <v>1182</v>
      </c>
      <c r="J65" s="1" t="s">
        <v>47</v>
      </c>
      <c r="K65" s="1" t="s">
        <v>48</v>
      </c>
      <c r="L65" s="1" t="s">
        <v>49</v>
      </c>
      <c r="M65" s="1" t="s">
        <v>50</v>
      </c>
      <c r="N65" s="1" t="s">
        <v>191</v>
      </c>
      <c r="O65" s="1" t="s">
        <v>52</v>
      </c>
      <c r="P65">
        <v>20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 t="s">
        <v>33</v>
      </c>
      <c r="AH65" s="1" t="str">
        <f t="shared" si="0"/>
        <v>Jr</v>
      </c>
      <c r="AI65" t="s">
        <v>34</v>
      </c>
      <c r="AJ65" s="4">
        <v>67</v>
      </c>
      <c r="AK65" s="1">
        <f>Table1[[#This Row],[avg_salary]]*1000</f>
        <v>67000</v>
      </c>
    </row>
    <row r="66" spans="1:37" x14ac:dyDescent="0.3">
      <c r="A66" s="1">
        <v>70</v>
      </c>
      <c r="B66" s="1" t="s">
        <v>28</v>
      </c>
      <c r="C66" s="1" t="s">
        <v>835</v>
      </c>
      <c r="D66" s="4">
        <v>61000</v>
      </c>
      <c r="E66" s="4">
        <v>109000</v>
      </c>
      <c r="F66" s="4">
        <v>85000</v>
      </c>
      <c r="G66" s="1" t="s">
        <v>1240</v>
      </c>
      <c r="H66" t="s">
        <v>1453</v>
      </c>
      <c r="I66" s="1" t="s">
        <v>1241</v>
      </c>
      <c r="J66" s="1" t="s">
        <v>781</v>
      </c>
      <c r="K66" s="1" t="s">
        <v>192</v>
      </c>
      <c r="L66" s="1" t="s">
        <v>77</v>
      </c>
      <c r="M66" s="1" t="s">
        <v>130</v>
      </c>
      <c r="N66" s="1" t="s">
        <v>193</v>
      </c>
      <c r="O66" s="1" t="s">
        <v>194</v>
      </c>
      <c r="P66">
        <v>55</v>
      </c>
      <c r="Q66" s="1">
        <v>1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1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 t="s">
        <v>33</v>
      </c>
      <c r="AH66" s="1" t="str">
        <f t="shared" ref="AH66:AH129" si="1">IF(VALUE(AJ66) &gt;= 114, "Sr", "Jr")</f>
        <v>Jr</v>
      </c>
      <c r="AI66" t="s">
        <v>34</v>
      </c>
      <c r="AJ66" s="4">
        <v>85</v>
      </c>
      <c r="AK66" s="1">
        <f>Table1[[#This Row],[avg_salary]]*1000</f>
        <v>85000</v>
      </c>
    </row>
    <row r="67" spans="1:37" x14ac:dyDescent="0.3">
      <c r="A67" s="1">
        <v>72</v>
      </c>
      <c r="B67" s="1" t="s">
        <v>28</v>
      </c>
      <c r="C67" s="1" t="s">
        <v>836</v>
      </c>
      <c r="D67" s="4">
        <v>88000</v>
      </c>
      <c r="E67" s="4">
        <v>148000</v>
      </c>
      <c r="F67" s="4">
        <v>118000</v>
      </c>
      <c r="G67" s="1" t="s">
        <v>1242</v>
      </c>
      <c r="H67" t="s">
        <v>1441</v>
      </c>
      <c r="I67" s="1" t="s">
        <v>1196</v>
      </c>
      <c r="J67" s="1" t="s">
        <v>780</v>
      </c>
      <c r="K67" s="1" t="s">
        <v>89</v>
      </c>
      <c r="L67" s="1" t="s">
        <v>89</v>
      </c>
      <c r="M67" s="1" t="s">
        <v>100</v>
      </c>
      <c r="N67" s="1" t="s">
        <v>195</v>
      </c>
      <c r="O67" s="1" t="s">
        <v>91</v>
      </c>
      <c r="P67">
        <v>19</v>
      </c>
      <c r="Q67" s="1">
        <v>1</v>
      </c>
      <c r="R67" s="1">
        <v>0</v>
      </c>
      <c r="S67" s="1">
        <v>0</v>
      </c>
      <c r="T67" s="1">
        <v>1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 t="s">
        <v>33</v>
      </c>
      <c r="AH67" s="1" t="str">
        <f t="shared" si="1"/>
        <v>Sr</v>
      </c>
      <c r="AI67" t="s">
        <v>72</v>
      </c>
      <c r="AJ67" s="4">
        <v>118</v>
      </c>
      <c r="AK67" s="1">
        <f>Table1[[#This Row],[avg_salary]]*1000</f>
        <v>118000</v>
      </c>
    </row>
    <row r="68" spans="1:37" x14ac:dyDescent="0.3">
      <c r="A68" s="1">
        <v>73</v>
      </c>
      <c r="B68" s="1" t="s">
        <v>28</v>
      </c>
      <c r="C68" s="1" t="s">
        <v>837</v>
      </c>
      <c r="D68" s="4">
        <v>60000</v>
      </c>
      <c r="E68" s="4">
        <v>99000</v>
      </c>
      <c r="F68" s="4">
        <v>79500</v>
      </c>
      <c r="G68" s="1" t="s">
        <v>1243</v>
      </c>
      <c r="H68" t="s">
        <v>1454</v>
      </c>
      <c r="I68" s="1" t="s">
        <v>1244</v>
      </c>
      <c r="J68" s="1" t="s">
        <v>780</v>
      </c>
      <c r="K68" s="1" t="s">
        <v>145</v>
      </c>
      <c r="L68" s="1" t="s">
        <v>74</v>
      </c>
      <c r="M68" s="1" t="s">
        <v>65</v>
      </c>
      <c r="N68" s="1" t="s">
        <v>196</v>
      </c>
      <c r="O68" s="1" t="s">
        <v>197</v>
      </c>
      <c r="P68">
        <v>30</v>
      </c>
      <c r="Q68" s="1">
        <v>1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1</v>
      </c>
      <c r="X68" s="1">
        <v>1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 t="s">
        <v>33</v>
      </c>
      <c r="AH68" s="1" t="str">
        <f t="shared" si="1"/>
        <v>Jr</v>
      </c>
      <c r="AI68" t="s">
        <v>34</v>
      </c>
      <c r="AJ68" s="4">
        <v>79.5</v>
      </c>
      <c r="AK68" s="1">
        <f>Table1[[#This Row],[avg_salary]]*1000</f>
        <v>79500</v>
      </c>
    </row>
    <row r="69" spans="1:37" x14ac:dyDescent="0.3">
      <c r="A69" s="1">
        <v>75</v>
      </c>
      <c r="B69" s="1" t="s">
        <v>198</v>
      </c>
      <c r="C69" s="1" t="s">
        <v>838</v>
      </c>
      <c r="D69" s="4">
        <v>41000</v>
      </c>
      <c r="E69" s="4">
        <v>72000</v>
      </c>
      <c r="F69" s="4">
        <v>56500</v>
      </c>
      <c r="G69" s="1" t="s">
        <v>1231</v>
      </c>
      <c r="H69" t="s">
        <v>1441</v>
      </c>
      <c r="I69" s="1" t="s">
        <v>1196</v>
      </c>
      <c r="J69" s="1" t="s">
        <v>781</v>
      </c>
      <c r="K69" s="1" t="s">
        <v>53</v>
      </c>
      <c r="L69" s="1" t="s">
        <v>43</v>
      </c>
      <c r="M69" s="1" t="s">
        <v>44</v>
      </c>
      <c r="N69" s="1" t="s">
        <v>199</v>
      </c>
      <c r="O69" s="1" t="s">
        <v>91</v>
      </c>
      <c r="P69">
        <v>39</v>
      </c>
      <c r="Q69" s="1">
        <v>1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 t="s">
        <v>33</v>
      </c>
      <c r="AH69" s="1" t="str">
        <f t="shared" si="1"/>
        <v>Jr</v>
      </c>
      <c r="AI69" t="s">
        <v>34</v>
      </c>
      <c r="AJ69" s="4">
        <v>56.5</v>
      </c>
      <c r="AK69" s="1">
        <f>Table1[[#This Row],[avg_salary]]*1000</f>
        <v>56500</v>
      </c>
    </row>
    <row r="70" spans="1:37" x14ac:dyDescent="0.3">
      <c r="A70" s="1">
        <v>76</v>
      </c>
      <c r="B70" s="1" t="s">
        <v>28</v>
      </c>
      <c r="C70" s="1" t="s">
        <v>839</v>
      </c>
      <c r="D70" s="4">
        <v>96000</v>
      </c>
      <c r="E70" s="4">
        <v>161000</v>
      </c>
      <c r="F70" s="4">
        <v>128500</v>
      </c>
      <c r="G70" s="1" t="s">
        <v>1245</v>
      </c>
      <c r="H70" t="s">
        <v>1453</v>
      </c>
      <c r="I70" s="1" t="s">
        <v>1241</v>
      </c>
      <c r="J70" s="1" t="s">
        <v>780</v>
      </c>
      <c r="K70" s="1" t="s">
        <v>200</v>
      </c>
      <c r="L70" s="1" t="s">
        <v>43</v>
      </c>
      <c r="M70" s="1" t="s">
        <v>201</v>
      </c>
      <c r="N70" s="1" t="s">
        <v>202</v>
      </c>
      <c r="O70" s="1" t="s">
        <v>194</v>
      </c>
      <c r="P70">
        <v>57</v>
      </c>
      <c r="Q70" s="1">
        <v>1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 t="s">
        <v>33</v>
      </c>
      <c r="AH70" s="1" t="str">
        <f t="shared" si="1"/>
        <v>Sr</v>
      </c>
      <c r="AI70" t="s">
        <v>34</v>
      </c>
      <c r="AJ70" s="4">
        <v>128.5</v>
      </c>
      <c r="AK70" s="1">
        <f>Table1[[#This Row],[avg_salary]]*1000</f>
        <v>128500</v>
      </c>
    </row>
    <row r="71" spans="1:37" x14ac:dyDescent="0.3">
      <c r="A71" s="1">
        <v>77</v>
      </c>
      <c r="B71" s="1" t="s">
        <v>203</v>
      </c>
      <c r="C71" s="1" t="s">
        <v>840</v>
      </c>
      <c r="D71" s="4">
        <v>65000</v>
      </c>
      <c r="E71" s="4">
        <v>130000</v>
      </c>
      <c r="F71" s="4">
        <v>97500</v>
      </c>
      <c r="G71" s="1" t="s">
        <v>1246</v>
      </c>
      <c r="H71" t="s">
        <v>1223</v>
      </c>
      <c r="I71" s="1" t="s">
        <v>1182</v>
      </c>
      <c r="J71" s="1" t="s">
        <v>781</v>
      </c>
      <c r="K71" s="1" t="s">
        <v>145</v>
      </c>
      <c r="L71" s="1" t="s">
        <v>74</v>
      </c>
      <c r="M71" s="1" t="s">
        <v>54</v>
      </c>
      <c r="N71" s="1" t="s">
        <v>204</v>
      </c>
      <c r="O71" s="1" t="s">
        <v>52</v>
      </c>
      <c r="P71">
        <v>24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 t="s">
        <v>71</v>
      </c>
      <c r="AH71" s="1" t="str">
        <f t="shared" si="1"/>
        <v>Jr</v>
      </c>
      <c r="AI71" t="s">
        <v>34</v>
      </c>
      <c r="AJ71" s="4">
        <v>97.5</v>
      </c>
      <c r="AK71" s="1">
        <f>Table1[[#This Row],[avg_salary]]*1000</f>
        <v>97500</v>
      </c>
    </row>
    <row r="72" spans="1:37" x14ac:dyDescent="0.3">
      <c r="A72" s="1">
        <v>78</v>
      </c>
      <c r="B72" s="1" t="s">
        <v>205</v>
      </c>
      <c r="C72" s="1" t="s">
        <v>841</v>
      </c>
      <c r="D72" s="4">
        <v>52000</v>
      </c>
      <c r="E72" s="4">
        <v>81000</v>
      </c>
      <c r="F72" s="4">
        <v>66500</v>
      </c>
      <c r="G72" s="1" t="s">
        <v>1247</v>
      </c>
      <c r="H72" t="s">
        <v>1455</v>
      </c>
      <c r="I72" s="1" t="s">
        <v>1248</v>
      </c>
      <c r="J72" s="1" t="s">
        <v>780</v>
      </c>
      <c r="K72" s="1" t="s">
        <v>103</v>
      </c>
      <c r="L72" s="1" t="s">
        <v>74</v>
      </c>
      <c r="M72" s="1" t="s">
        <v>54</v>
      </c>
      <c r="N72" s="1" t="s">
        <v>206</v>
      </c>
      <c r="O72" s="1" t="s">
        <v>207</v>
      </c>
      <c r="P72">
        <v>35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 t="s">
        <v>208</v>
      </c>
      <c r="AH72" s="1" t="str">
        <f t="shared" si="1"/>
        <v>Jr</v>
      </c>
      <c r="AI72" t="s">
        <v>34</v>
      </c>
      <c r="AJ72" s="4">
        <v>66.5</v>
      </c>
      <c r="AK72" s="1">
        <f>Table1[[#This Row],[avg_salary]]*1000</f>
        <v>66500</v>
      </c>
    </row>
    <row r="73" spans="1:37" x14ac:dyDescent="0.3">
      <c r="A73" s="1">
        <v>79</v>
      </c>
      <c r="B73" s="1" t="s">
        <v>209</v>
      </c>
      <c r="C73" s="1" t="s">
        <v>842</v>
      </c>
      <c r="D73" s="4">
        <v>139000</v>
      </c>
      <c r="E73" s="4">
        <v>220000</v>
      </c>
      <c r="F73" s="4">
        <v>179500</v>
      </c>
      <c r="G73" s="1" t="s">
        <v>1249</v>
      </c>
      <c r="H73" t="s">
        <v>1444</v>
      </c>
      <c r="I73" s="1" t="s">
        <v>1204</v>
      </c>
      <c r="J73" s="1" t="s">
        <v>781</v>
      </c>
      <c r="K73" s="1" t="s">
        <v>210</v>
      </c>
      <c r="L73" s="1" t="s">
        <v>43</v>
      </c>
      <c r="M73" s="1" t="s">
        <v>84</v>
      </c>
      <c r="N73" s="1" t="s">
        <v>211</v>
      </c>
      <c r="O73" s="1" t="s">
        <v>120</v>
      </c>
      <c r="P73">
        <v>42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 t="s">
        <v>33</v>
      </c>
      <c r="AH73" s="1" t="str">
        <f t="shared" si="1"/>
        <v>Sr</v>
      </c>
      <c r="AI73" t="s">
        <v>34</v>
      </c>
      <c r="AJ73" s="4">
        <v>179.5</v>
      </c>
      <c r="AK73" s="1">
        <f>Table1[[#This Row],[avg_salary]]*1000</f>
        <v>179500</v>
      </c>
    </row>
    <row r="74" spans="1:37" x14ac:dyDescent="0.3">
      <c r="A74" s="1">
        <v>80</v>
      </c>
      <c r="B74" s="1" t="s">
        <v>156</v>
      </c>
      <c r="C74" s="1" t="s">
        <v>843</v>
      </c>
      <c r="D74" s="4">
        <v>50000</v>
      </c>
      <c r="E74" s="4">
        <v>102000</v>
      </c>
      <c r="F74" s="4">
        <v>76000</v>
      </c>
      <c r="G74" s="1" t="s">
        <v>1250</v>
      </c>
      <c r="H74" t="s">
        <v>1452</v>
      </c>
      <c r="I74" s="1" t="s">
        <v>1237</v>
      </c>
      <c r="J74" s="1" t="s">
        <v>93</v>
      </c>
      <c r="K74" s="1" t="s">
        <v>79</v>
      </c>
      <c r="L74" s="1" t="s">
        <v>43</v>
      </c>
      <c r="M74" s="1" t="s">
        <v>30</v>
      </c>
      <c r="N74" s="1" t="s">
        <v>212</v>
      </c>
      <c r="O74" s="1" t="s">
        <v>182</v>
      </c>
      <c r="P74">
        <v>41</v>
      </c>
      <c r="Q74" s="1">
        <v>0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 t="s">
        <v>71</v>
      </c>
      <c r="AH74" s="1" t="str">
        <f t="shared" si="1"/>
        <v>Jr</v>
      </c>
      <c r="AI74" t="s">
        <v>72</v>
      </c>
      <c r="AJ74" s="4">
        <v>76</v>
      </c>
      <c r="AK74" s="1">
        <f>Table1[[#This Row],[avg_salary]]*1000</f>
        <v>76000</v>
      </c>
    </row>
    <row r="75" spans="1:37" x14ac:dyDescent="0.3">
      <c r="A75" s="1">
        <v>81</v>
      </c>
      <c r="B75" s="1" t="s">
        <v>213</v>
      </c>
      <c r="C75" s="1" t="s">
        <v>844</v>
      </c>
      <c r="D75" s="4">
        <v>85000</v>
      </c>
      <c r="E75" s="4">
        <v>139000</v>
      </c>
      <c r="F75" s="4">
        <v>112000</v>
      </c>
      <c r="G75" s="1" t="s">
        <v>1251</v>
      </c>
      <c r="H75" t="s">
        <v>1440</v>
      </c>
      <c r="I75" s="1" t="s">
        <v>1192</v>
      </c>
      <c r="J75" s="1" t="s">
        <v>780</v>
      </c>
      <c r="K75" s="1" t="s">
        <v>143</v>
      </c>
      <c r="L75" s="1" t="s">
        <v>74</v>
      </c>
      <c r="M75" s="1" t="s">
        <v>44</v>
      </c>
      <c r="N75" s="1" t="s">
        <v>214</v>
      </c>
      <c r="O75" s="1" t="s">
        <v>81</v>
      </c>
      <c r="P75">
        <v>53</v>
      </c>
      <c r="Q75" s="1">
        <v>1</v>
      </c>
      <c r="R75" s="1">
        <v>1</v>
      </c>
      <c r="S75" s="1">
        <v>0</v>
      </c>
      <c r="T75" s="1">
        <v>0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 t="s">
        <v>33</v>
      </c>
      <c r="AH75" s="1" t="str">
        <f t="shared" si="1"/>
        <v>Jr</v>
      </c>
      <c r="AI75" t="s">
        <v>34</v>
      </c>
      <c r="AJ75" s="4">
        <v>112</v>
      </c>
      <c r="AK75" s="1">
        <f>Table1[[#This Row],[avg_salary]]*1000</f>
        <v>112000</v>
      </c>
    </row>
    <row r="76" spans="1:37" x14ac:dyDescent="0.3">
      <c r="A76" s="1">
        <v>82</v>
      </c>
      <c r="B76" s="1" t="s">
        <v>28</v>
      </c>
      <c r="C76" s="1" t="s">
        <v>845</v>
      </c>
      <c r="D76" s="4">
        <v>74000</v>
      </c>
      <c r="E76" s="4">
        <v>122000</v>
      </c>
      <c r="F76" s="4">
        <v>98000</v>
      </c>
      <c r="G76" s="1" t="s">
        <v>1252</v>
      </c>
      <c r="H76" t="s">
        <v>1453</v>
      </c>
      <c r="I76" s="1" t="s">
        <v>1241</v>
      </c>
      <c r="J76" s="1" t="s">
        <v>780</v>
      </c>
      <c r="K76" s="1" t="s">
        <v>215</v>
      </c>
      <c r="L76" s="1" t="s">
        <v>184</v>
      </c>
      <c r="M76" s="1" t="s">
        <v>58</v>
      </c>
      <c r="N76" s="1" t="s">
        <v>216</v>
      </c>
      <c r="O76" s="1" t="s">
        <v>194</v>
      </c>
      <c r="P76">
        <v>33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 t="s">
        <v>33</v>
      </c>
      <c r="AH76" s="1" t="str">
        <f t="shared" si="1"/>
        <v>Jr</v>
      </c>
      <c r="AI76" t="s">
        <v>34</v>
      </c>
      <c r="AJ76" s="4">
        <v>98</v>
      </c>
      <c r="AK76" s="1">
        <f>Table1[[#This Row],[avg_salary]]*1000</f>
        <v>98000</v>
      </c>
    </row>
    <row r="77" spans="1:37" x14ac:dyDescent="0.3">
      <c r="A77" s="1">
        <v>83</v>
      </c>
      <c r="B77" s="1" t="s">
        <v>217</v>
      </c>
      <c r="C77" s="1" t="s">
        <v>846</v>
      </c>
      <c r="D77" s="4">
        <v>99000</v>
      </c>
      <c r="E77" s="4">
        <v>157000</v>
      </c>
      <c r="F77" s="4">
        <v>128000</v>
      </c>
      <c r="G77" s="1" t="s">
        <v>1246</v>
      </c>
      <c r="H77" t="s">
        <v>1223</v>
      </c>
      <c r="I77" s="1" t="s">
        <v>1182</v>
      </c>
      <c r="J77" s="1" t="s">
        <v>781</v>
      </c>
      <c r="K77" s="1" t="s">
        <v>145</v>
      </c>
      <c r="L77" s="1" t="s">
        <v>74</v>
      </c>
      <c r="M77" s="1" t="s">
        <v>54</v>
      </c>
      <c r="N77" s="1" t="s">
        <v>204</v>
      </c>
      <c r="O77" s="1" t="s">
        <v>52</v>
      </c>
      <c r="P77">
        <v>32</v>
      </c>
      <c r="Q77" s="1">
        <v>0</v>
      </c>
      <c r="R77" s="1">
        <v>1</v>
      </c>
      <c r="S77" s="1">
        <v>1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1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 t="s">
        <v>33</v>
      </c>
      <c r="AH77" s="1" t="str">
        <f t="shared" si="1"/>
        <v>Sr</v>
      </c>
      <c r="AI77" t="s">
        <v>34</v>
      </c>
      <c r="AJ77" s="4">
        <v>128</v>
      </c>
      <c r="AK77" s="1">
        <f>Table1[[#This Row],[avg_salary]]*1000</f>
        <v>128000</v>
      </c>
    </row>
    <row r="78" spans="1:37" x14ac:dyDescent="0.3">
      <c r="A78" s="1">
        <v>84</v>
      </c>
      <c r="B78" s="1" t="s">
        <v>218</v>
      </c>
      <c r="C78" s="1" t="s">
        <v>847</v>
      </c>
      <c r="D78" s="4">
        <v>79000</v>
      </c>
      <c r="E78" s="4">
        <v>222000</v>
      </c>
      <c r="F78" s="4">
        <v>150500</v>
      </c>
      <c r="G78" s="1" t="s">
        <v>1199</v>
      </c>
      <c r="H78" t="s">
        <v>1439</v>
      </c>
      <c r="I78" s="1" t="s">
        <v>1189</v>
      </c>
      <c r="J78" s="1" t="s">
        <v>780</v>
      </c>
      <c r="K78" s="1" t="s">
        <v>103</v>
      </c>
      <c r="L78" s="1" t="s">
        <v>74</v>
      </c>
      <c r="M78" s="1" t="s">
        <v>54</v>
      </c>
      <c r="N78" s="1" t="s">
        <v>104</v>
      </c>
      <c r="O78" s="1" t="s">
        <v>67</v>
      </c>
      <c r="P78">
        <v>37</v>
      </c>
      <c r="Q78" s="1">
        <v>1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1</v>
      </c>
      <c r="X78" s="1">
        <v>0</v>
      </c>
      <c r="Y78" s="1">
        <v>1</v>
      </c>
      <c r="Z78" s="1">
        <v>1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 t="s">
        <v>33</v>
      </c>
      <c r="AH78" s="1" t="str">
        <f t="shared" si="1"/>
        <v>Sr</v>
      </c>
      <c r="AI78" t="s">
        <v>72</v>
      </c>
      <c r="AJ78" s="4">
        <v>150.5</v>
      </c>
      <c r="AK78" s="1">
        <f>Table1[[#This Row],[avg_salary]]*1000</f>
        <v>150500</v>
      </c>
    </row>
    <row r="79" spans="1:37" x14ac:dyDescent="0.3">
      <c r="A79" s="1">
        <v>85</v>
      </c>
      <c r="B79" s="1" t="s">
        <v>68</v>
      </c>
      <c r="C79" s="1" t="s">
        <v>848</v>
      </c>
      <c r="D79" s="4">
        <v>57000</v>
      </c>
      <c r="E79" s="4">
        <v>118000</v>
      </c>
      <c r="F79" s="4">
        <v>87500</v>
      </c>
      <c r="G79" s="1" t="s">
        <v>1195</v>
      </c>
      <c r="H79" t="s">
        <v>1441</v>
      </c>
      <c r="I79" s="1" t="s">
        <v>1196</v>
      </c>
      <c r="J79" s="1" t="s">
        <v>780</v>
      </c>
      <c r="K79" s="1" t="s">
        <v>89</v>
      </c>
      <c r="L79" s="1" t="s">
        <v>89</v>
      </c>
      <c r="M79" s="1" t="s">
        <v>121</v>
      </c>
      <c r="N79" s="1" t="s">
        <v>219</v>
      </c>
      <c r="O79" s="1" t="s">
        <v>91</v>
      </c>
      <c r="P79">
        <v>38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 t="s">
        <v>71</v>
      </c>
      <c r="AH79" s="1" t="str">
        <f t="shared" si="1"/>
        <v>Jr</v>
      </c>
      <c r="AI79" t="s">
        <v>34</v>
      </c>
      <c r="AJ79" s="4">
        <v>87.5</v>
      </c>
      <c r="AK79" s="1">
        <f>Table1[[#This Row],[avg_salary]]*1000</f>
        <v>87500</v>
      </c>
    </row>
    <row r="80" spans="1:37" x14ac:dyDescent="0.3">
      <c r="A80" s="1">
        <v>86</v>
      </c>
      <c r="B80" s="1" t="s">
        <v>28</v>
      </c>
      <c r="C80" s="1" t="s">
        <v>815</v>
      </c>
      <c r="D80" s="4">
        <v>83000</v>
      </c>
      <c r="E80" s="4">
        <v>137000</v>
      </c>
      <c r="F80" s="4">
        <v>110000</v>
      </c>
      <c r="G80" s="1" t="s">
        <v>1191</v>
      </c>
      <c r="H80" t="s">
        <v>1440</v>
      </c>
      <c r="I80" s="1" t="s">
        <v>1192</v>
      </c>
      <c r="J80" s="1" t="s">
        <v>780</v>
      </c>
      <c r="K80" s="1" t="s">
        <v>29</v>
      </c>
      <c r="L80" s="1" t="s">
        <v>29</v>
      </c>
      <c r="M80" s="1" t="s">
        <v>58</v>
      </c>
      <c r="N80" s="1" t="s">
        <v>220</v>
      </c>
      <c r="O80" s="1" t="s">
        <v>81</v>
      </c>
      <c r="P80">
        <v>26</v>
      </c>
      <c r="Q80" s="1">
        <v>1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0</v>
      </c>
      <c r="AA80" s="1">
        <v>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 t="s">
        <v>33</v>
      </c>
      <c r="AH80" s="1" t="str">
        <f t="shared" si="1"/>
        <v>Jr</v>
      </c>
      <c r="AI80" t="s">
        <v>72</v>
      </c>
      <c r="AJ80" s="4">
        <v>110</v>
      </c>
      <c r="AK80" s="1">
        <f>Table1[[#This Row],[avg_salary]]*1000</f>
        <v>110000</v>
      </c>
    </row>
    <row r="81" spans="1:37" x14ac:dyDescent="0.3">
      <c r="A81" s="1">
        <v>87</v>
      </c>
      <c r="B81" s="1" t="s">
        <v>28</v>
      </c>
      <c r="C81" s="1" t="s">
        <v>849</v>
      </c>
      <c r="D81" s="4">
        <v>86000</v>
      </c>
      <c r="E81" s="4">
        <v>141000</v>
      </c>
      <c r="F81" s="4">
        <v>113500</v>
      </c>
      <c r="G81" s="1" t="s">
        <v>1188</v>
      </c>
      <c r="H81" t="s">
        <v>1439</v>
      </c>
      <c r="I81" s="1" t="s">
        <v>1189</v>
      </c>
      <c r="J81" s="1" t="s">
        <v>780</v>
      </c>
      <c r="K81" s="1" t="s">
        <v>143</v>
      </c>
      <c r="L81" s="1" t="s">
        <v>74</v>
      </c>
      <c r="M81" s="1" t="s">
        <v>50</v>
      </c>
      <c r="N81" s="1" t="s">
        <v>221</v>
      </c>
      <c r="O81" s="1" t="s">
        <v>67</v>
      </c>
      <c r="P81">
        <v>37</v>
      </c>
      <c r="Q81" s="1">
        <v>1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 t="s">
        <v>33</v>
      </c>
      <c r="AH81" s="1" t="str">
        <f t="shared" si="1"/>
        <v>Jr</v>
      </c>
      <c r="AI81" t="s">
        <v>72</v>
      </c>
      <c r="AJ81" s="4">
        <v>113.5</v>
      </c>
      <c r="AK81" s="1">
        <f>Table1[[#This Row],[avg_salary]]*1000</f>
        <v>113500</v>
      </c>
    </row>
    <row r="82" spans="1:37" x14ac:dyDescent="0.3">
      <c r="A82" s="1">
        <v>88</v>
      </c>
      <c r="B82" s="1" t="s">
        <v>28</v>
      </c>
      <c r="C82" s="1" t="s">
        <v>850</v>
      </c>
      <c r="D82" s="4">
        <v>94000</v>
      </c>
      <c r="E82" s="4">
        <v>154000</v>
      </c>
      <c r="F82" s="4">
        <v>124000</v>
      </c>
      <c r="G82" s="1" t="s">
        <v>1200</v>
      </c>
      <c r="H82" t="s">
        <v>1439</v>
      </c>
      <c r="I82" s="1" t="s">
        <v>1189</v>
      </c>
      <c r="J82" s="1" t="s">
        <v>780</v>
      </c>
      <c r="K82" s="1" t="s">
        <v>37</v>
      </c>
      <c r="L82" s="1" t="s">
        <v>38</v>
      </c>
      <c r="M82" s="1" t="s">
        <v>100</v>
      </c>
      <c r="N82" s="1" t="s">
        <v>222</v>
      </c>
      <c r="O82" s="1" t="s">
        <v>67</v>
      </c>
      <c r="P82">
        <v>23</v>
      </c>
      <c r="Q82" s="1">
        <v>1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 t="s">
        <v>33</v>
      </c>
      <c r="AH82" s="1" t="str">
        <f t="shared" si="1"/>
        <v>Sr</v>
      </c>
      <c r="AI82" t="s">
        <v>34</v>
      </c>
      <c r="AJ82" s="4">
        <v>124</v>
      </c>
      <c r="AK82" s="1">
        <f>Table1[[#This Row],[avg_salary]]*1000</f>
        <v>124000</v>
      </c>
    </row>
    <row r="83" spans="1:37" x14ac:dyDescent="0.3">
      <c r="A83" s="1">
        <v>89</v>
      </c>
      <c r="B83" s="1" t="s">
        <v>223</v>
      </c>
      <c r="C83" s="1" t="s">
        <v>851</v>
      </c>
      <c r="D83" s="4">
        <v>37000</v>
      </c>
      <c r="E83" s="4">
        <v>76000</v>
      </c>
      <c r="F83" s="4">
        <v>56500</v>
      </c>
      <c r="G83" s="1" t="s">
        <v>1253</v>
      </c>
      <c r="H83" t="s">
        <v>1453</v>
      </c>
      <c r="I83" s="1" t="s">
        <v>1241</v>
      </c>
      <c r="J83" s="1" t="s">
        <v>780</v>
      </c>
      <c r="K83" s="1" t="s">
        <v>53</v>
      </c>
      <c r="L83" s="1" t="s">
        <v>43</v>
      </c>
      <c r="M83" s="1" t="s">
        <v>65</v>
      </c>
      <c r="N83" s="1" t="s">
        <v>224</v>
      </c>
      <c r="O83" s="1" t="s">
        <v>194</v>
      </c>
      <c r="P83">
        <v>53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 t="s">
        <v>88</v>
      </c>
      <c r="AH83" s="1" t="str">
        <f t="shared" si="1"/>
        <v>Jr</v>
      </c>
      <c r="AI83" t="s">
        <v>34</v>
      </c>
      <c r="AJ83" s="4">
        <v>56.5</v>
      </c>
      <c r="AK83" s="1">
        <f>Table1[[#This Row],[avg_salary]]*1000</f>
        <v>56500</v>
      </c>
    </row>
    <row r="84" spans="1:37" x14ac:dyDescent="0.3">
      <c r="A84" s="1">
        <v>90</v>
      </c>
      <c r="B84" s="1" t="s">
        <v>28</v>
      </c>
      <c r="C84" s="1" t="s">
        <v>852</v>
      </c>
      <c r="D84" s="4">
        <v>100000</v>
      </c>
      <c r="E84" s="4">
        <v>160000</v>
      </c>
      <c r="F84" s="4">
        <v>130000</v>
      </c>
      <c r="G84" s="1" t="s">
        <v>1254</v>
      </c>
      <c r="H84" t="s">
        <v>1436</v>
      </c>
      <c r="I84" s="1" t="s">
        <v>1178</v>
      </c>
      <c r="J84" s="1" t="s">
        <v>107</v>
      </c>
      <c r="K84" s="1" t="s">
        <v>29</v>
      </c>
      <c r="L84" s="1" t="s">
        <v>29</v>
      </c>
      <c r="M84" s="1" t="s">
        <v>58</v>
      </c>
      <c r="N84" s="1" t="s">
        <v>225</v>
      </c>
      <c r="O84" s="1" t="s">
        <v>41</v>
      </c>
      <c r="P84">
        <v>25</v>
      </c>
      <c r="Q84" s="1">
        <v>1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 t="s">
        <v>33</v>
      </c>
      <c r="AH84" s="1" t="str">
        <f t="shared" si="1"/>
        <v>Sr</v>
      </c>
      <c r="AI84" t="s">
        <v>34</v>
      </c>
      <c r="AJ84" s="4">
        <v>130</v>
      </c>
      <c r="AK84" s="1">
        <f>Table1[[#This Row],[avg_salary]]*1000</f>
        <v>130000</v>
      </c>
    </row>
    <row r="85" spans="1:37" x14ac:dyDescent="0.3">
      <c r="A85" s="1">
        <v>91</v>
      </c>
      <c r="B85" s="1" t="s">
        <v>86</v>
      </c>
      <c r="C85" s="1" t="s">
        <v>853</v>
      </c>
      <c r="D85" s="4">
        <v>55000</v>
      </c>
      <c r="E85" s="4">
        <v>100000</v>
      </c>
      <c r="F85" s="4">
        <v>77500</v>
      </c>
      <c r="G85" s="1" t="s">
        <v>1203</v>
      </c>
      <c r="H85" t="s">
        <v>1444</v>
      </c>
      <c r="I85" s="1" t="s">
        <v>1204</v>
      </c>
      <c r="J85" s="1" t="s">
        <v>780</v>
      </c>
      <c r="K85" s="1" t="s">
        <v>145</v>
      </c>
      <c r="L85" s="1" t="s">
        <v>74</v>
      </c>
      <c r="M85" s="1" t="s">
        <v>121</v>
      </c>
      <c r="N85" s="1" t="s">
        <v>226</v>
      </c>
      <c r="O85" s="1" t="s">
        <v>120</v>
      </c>
      <c r="P85">
        <v>32</v>
      </c>
      <c r="Q85" s="1">
        <v>0</v>
      </c>
      <c r="R85" s="1">
        <v>0</v>
      </c>
      <c r="S85" s="1">
        <v>0</v>
      </c>
      <c r="T85" s="1">
        <v>1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 t="s">
        <v>88</v>
      </c>
      <c r="AH85" s="1" t="str">
        <f t="shared" si="1"/>
        <v>Jr</v>
      </c>
      <c r="AI85" t="s">
        <v>34</v>
      </c>
      <c r="AJ85" s="4">
        <v>77.5</v>
      </c>
      <c r="AK85" s="1">
        <f>Table1[[#This Row],[avg_salary]]*1000</f>
        <v>77500</v>
      </c>
    </row>
    <row r="86" spans="1:37" x14ac:dyDescent="0.3">
      <c r="A86" s="1">
        <v>92</v>
      </c>
      <c r="B86" s="1" t="s">
        <v>150</v>
      </c>
      <c r="C86" s="1" t="s">
        <v>854</v>
      </c>
      <c r="D86" s="4">
        <v>60000</v>
      </c>
      <c r="E86" s="4">
        <v>114000</v>
      </c>
      <c r="F86" s="4">
        <v>87000</v>
      </c>
      <c r="G86" s="1" t="s">
        <v>1255</v>
      </c>
      <c r="H86" t="s">
        <v>1440</v>
      </c>
      <c r="I86" s="1" t="s">
        <v>1192</v>
      </c>
      <c r="J86" s="1" t="s">
        <v>780</v>
      </c>
      <c r="K86" s="1" t="s">
        <v>64</v>
      </c>
      <c r="L86" s="1" t="s">
        <v>43</v>
      </c>
      <c r="M86" s="1" t="s">
        <v>30</v>
      </c>
      <c r="N86" s="1" t="s">
        <v>227</v>
      </c>
      <c r="O86" s="1" t="s">
        <v>81</v>
      </c>
      <c r="P86">
        <v>24</v>
      </c>
      <c r="Q86" s="1">
        <v>1</v>
      </c>
      <c r="R86" s="1">
        <v>0</v>
      </c>
      <c r="S86" s="1">
        <v>1</v>
      </c>
      <c r="T86" s="1">
        <v>1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98</v>
      </c>
      <c r="AH86" s="1" t="str">
        <f t="shared" si="1"/>
        <v>Jr</v>
      </c>
      <c r="AI86" t="s">
        <v>72</v>
      </c>
      <c r="AJ86" s="4">
        <v>87</v>
      </c>
      <c r="AK86" s="1">
        <f>Table1[[#This Row],[avg_salary]]*1000</f>
        <v>87000</v>
      </c>
    </row>
    <row r="87" spans="1:37" x14ac:dyDescent="0.3">
      <c r="A87" s="1">
        <v>93</v>
      </c>
      <c r="B87" s="1" t="s">
        <v>86</v>
      </c>
      <c r="C87" s="1" t="s">
        <v>855</v>
      </c>
      <c r="D87" s="4">
        <v>39000</v>
      </c>
      <c r="E87" s="4">
        <v>68000</v>
      </c>
      <c r="F87" s="4">
        <v>53500</v>
      </c>
      <c r="G87" s="1" t="s">
        <v>1256</v>
      </c>
      <c r="H87" t="s">
        <v>1223</v>
      </c>
      <c r="I87" s="1" t="s">
        <v>1182</v>
      </c>
      <c r="J87" s="1" t="s">
        <v>780</v>
      </c>
      <c r="K87" s="1" t="s">
        <v>210</v>
      </c>
      <c r="L87" s="1" t="s">
        <v>43</v>
      </c>
      <c r="M87" s="1" t="s">
        <v>44</v>
      </c>
      <c r="N87" s="1" t="s">
        <v>228</v>
      </c>
      <c r="O87" s="1" t="s">
        <v>52</v>
      </c>
      <c r="P87">
        <v>24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88</v>
      </c>
      <c r="AH87" s="1" t="str">
        <f t="shared" si="1"/>
        <v>Jr</v>
      </c>
      <c r="AI87" t="s">
        <v>34</v>
      </c>
      <c r="AJ87" s="4">
        <v>53.5</v>
      </c>
      <c r="AK87" s="1">
        <f>Table1[[#This Row],[avg_salary]]*1000</f>
        <v>53500</v>
      </c>
    </row>
    <row r="88" spans="1:37" x14ac:dyDescent="0.3">
      <c r="A88" s="1">
        <v>94</v>
      </c>
      <c r="B88" s="1" t="s">
        <v>82</v>
      </c>
      <c r="C88" s="1" t="s">
        <v>794</v>
      </c>
      <c r="D88" s="4">
        <v>106000</v>
      </c>
      <c r="E88" s="4">
        <v>172000</v>
      </c>
      <c r="F88" s="4">
        <v>139000</v>
      </c>
      <c r="G88" s="1" t="s">
        <v>1193</v>
      </c>
      <c r="H88" t="s">
        <v>1438</v>
      </c>
      <c r="I88" s="1" t="s">
        <v>1186</v>
      </c>
      <c r="J88" s="1" t="s">
        <v>781</v>
      </c>
      <c r="K88" s="1" t="s">
        <v>83</v>
      </c>
      <c r="L88" s="1" t="s">
        <v>77</v>
      </c>
      <c r="M88" s="1" t="s">
        <v>84</v>
      </c>
      <c r="N88" s="1" t="s">
        <v>85</v>
      </c>
      <c r="O88" s="1" t="s">
        <v>60</v>
      </c>
      <c r="P88">
        <v>22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 t="s">
        <v>33</v>
      </c>
      <c r="AH88" s="1" t="str">
        <f t="shared" si="1"/>
        <v>Sr</v>
      </c>
      <c r="AI88" t="s">
        <v>34</v>
      </c>
      <c r="AJ88" s="4">
        <v>139</v>
      </c>
      <c r="AK88" s="1">
        <f>Table1[[#This Row],[avg_salary]]*1000</f>
        <v>139000</v>
      </c>
    </row>
    <row r="89" spans="1:37" x14ac:dyDescent="0.3">
      <c r="A89" s="1">
        <v>95</v>
      </c>
      <c r="B89" s="1" t="s">
        <v>28</v>
      </c>
      <c r="C89" s="1" t="s">
        <v>789</v>
      </c>
      <c r="D89" s="4">
        <v>86000</v>
      </c>
      <c r="E89" s="4">
        <v>142000</v>
      </c>
      <c r="F89" s="4">
        <v>114000</v>
      </c>
      <c r="G89" s="1" t="s">
        <v>1188</v>
      </c>
      <c r="H89" t="s">
        <v>1439</v>
      </c>
      <c r="I89" s="1" t="s">
        <v>1189</v>
      </c>
      <c r="J89" s="1" t="s">
        <v>780</v>
      </c>
      <c r="K89" s="1" t="s">
        <v>64</v>
      </c>
      <c r="L89" s="1" t="s">
        <v>43</v>
      </c>
      <c r="M89" s="1" t="s">
        <v>65</v>
      </c>
      <c r="N89" s="1" t="s">
        <v>66</v>
      </c>
      <c r="O89" s="1" t="s">
        <v>67</v>
      </c>
      <c r="P89">
        <v>18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0</v>
      </c>
      <c r="W89" s="1">
        <v>0</v>
      </c>
      <c r="X89" s="1">
        <v>1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 t="s">
        <v>33</v>
      </c>
      <c r="AH89" s="1" t="str">
        <f t="shared" si="1"/>
        <v>Sr</v>
      </c>
      <c r="AI89" t="s">
        <v>34</v>
      </c>
      <c r="AJ89" s="4">
        <v>114</v>
      </c>
      <c r="AK89" s="1">
        <f>Table1[[#This Row],[avg_salary]]*1000</f>
        <v>114000</v>
      </c>
    </row>
    <row r="90" spans="1:37" x14ac:dyDescent="0.3">
      <c r="A90" s="1">
        <v>96</v>
      </c>
      <c r="B90" s="1" t="s">
        <v>28</v>
      </c>
      <c r="C90" s="1" t="s">
        <v>856</v>
      </c>
      <c r="D90" s="4">
        <v>64000</v>
      </c>
      <c r="E90" s="4">
        <v>107000</v>
      </c>
      <c r="F90" s="4">
        <v>85500</v>
      </c>
      <c r="G90" s="1" t="s">
        <v>1257</v>
      </c>
      <c r="H90" t="s">
        <v>1437</v>
      </c>
      <c r="I90" s="1" t="s">
        <v>1180</v>
      </c>
      <c r="J90" s="1" t="s">
        <v>780</v>
      </c>
      <c r="K90" s="1" t="s">
        <v>103</v>
      </c>
      <c r="L90" s="1" t="s">
        <v>74</v>
      </c>
      <c r="M90" s="1" t="s">
        <v>44</v>
      </c>
      <c r="N90" s="1" t="s">
        <v>229</v>
      </c>
      <c r="O90" s="1" t="s">
        <v>46</v>
      </c>
      <c r="P90">
        <v>58</v>
      </c>
      <c r="Q90" s="1">
        <v>1</v>
      </c>
      <c r="R90" s="1">
        <v>1</v>
      </c>
      <c r="S90" s="1">
        <v>0</v>
      </c>
      <c r="T90" s="1">
        <v>1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 t="s">
        <v>33</v>
      </c>
      <c r="AH90" s="1" t="str">
        <f t="shared" si="1"/>
        <v>Jr</v>
      </c>
      <c r="AI90" t="s">
        <v>34</v>
      </c>
      <c r="AJ90" s="4">
        <v>85.5</v>
      </c>
      <c r="AK90" s="1">
        <f>Table1[[#This Row],[avg_salary]]*1000</f>
        <v>85500</v>
      </c>
    </row>
    <row r="91" spans="1:37" x14ac:dyDescent="0.3">
      <c r="A91" s="1">
        <v>97</v>
      </c>
      <c r="B91" s="1" t="s">
        <v>230</v>
      </c>
      <c r="C91" s="1" t="s">
        <v>857</v>
      </c>
      <c r="D91" s="4">
        <v>31000</v>
      </c>
      <c r="E91" s="4">
        <v>65000</v>
      </c>
      <c r="F91" s="4">
        <v>48000</v>
      </c>
      <c r="G91" s="1" t="s">
        <v>1232</v>
      </c>
      <c r="H91" t="s">
        <v>1451</v>
      </c>
      <c r="I91" s="1" t="s">
        <v>1233</v>
      </c>
      <c r="J91" s="1" t="s">
        <v>780</v>
      </c>
      <c r="K91" s="1" t="s">
        <v>143</v>
      </c>
      <c r="L91" s="1" t="s">
        <v>74</v>
      </c>
      <c r="M91" s="1" t="s">
        <v>65</v>
      </c>
      <c r="N91" s="1" t="s">
        <v>231</v>
      </c>
      <c r="O91" s="1" t="s">
        <v>177</v>
      </c>
      <c r="P91">
        <v>40</v>
      </c>
      <c r="Q91" s="1">
        <v>0</v>
      </c>
      <c r="R91" s="1">
        <v>0</v>
      </c>
      <c r="S91" s="1">
        <v>0</v>
      </c>
      <c r="T91" s="1">
        <v>1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 t="s">
        <v>1476</v>
      </c>
      <c r="AH91" s="1" t="str">
        <f t="shared" si="1"/>
        <v>Jr</v>
      </c>
      <c r="AI91" t="s">
        <v>34</v>
      </c>
      <c r="AJ91" s="4">
        <v>48</v>
      </c>
      <c r="AK91" s="1">
        <f>Table1[[#This Row],[avg_salary]]*1000</f>
        <v>48000</v>
      </c>
    </row>
    <row r="92" spans="1:37" x14ac:dyDescent="0.3">
      <c r="A92" s="1">
        <v>99</v>
      </c>
      <c r="B92" s="1" t="s">
        <v>232</v>
      </c>
      <c r="C92" s="1" t="s">
        <v>858</v>
      </c>
      <c r="D92" s="4">
        <v>34000</v>
      </c>
      <c r="E92" s="4">
        <v>62000</v>
      </c>
      <c r="F92" s="4">
        <v>48000</v>
      </c>
      <c r="G92" s="1" t="s">
        <v>1258</v>
      </c>
      <c r="H92" t="s">
        <v>1456</v>
      </c>
      <c r="I92" s="1" t="s">
        <v>1259</v>
      </c>
      <c r="J92" s="1" t="s">
        <v>780</v>
      </c>
      <c r="K92" s="1" t="s">
        <v>103</v>
      </c>
      <c r="L92" s="1" t="s">
        <v>74</v>
      </c>
      <c r="M92" s="1" t="s">
        <v>54</v>
      </c>
      <c r="N92" s="1" t="s">
        <v>233</v>
      </c>
      <c r="O92" s="1" t="s">
        <v>234</v>
      </c>
      <c r="P92">
        <v>34</v>
      </c>
      <c r="Q92" s="1">
        <v>0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 t="s">
        <v>88</v>
      </c>
      <c r="AH92" s="1" t="str">
        <f t="shared" si="1"/>
        <v>Jr</v>
      </c>
      <c r="AI92" t="s">
        <v>34</v>
      </c>
      <c r="AJ92" s="4">
        <v>48</v>
      </c>
      <c r="AK92" s="1">
        <f>Table1[[#This Row],[avg_salary]]*1000</f>
        <v>48000</v>
      </c>
    </row>
    <row r="93" spans="1:37" x14ac:dyDescent="0.3">
      <c r="A93" s="1">
        <v>101</v>
      </c>
      <c r="B93" s="1" t="s">
        <v>235</v>
      </c>
      <c r="C93" s="1" t="s">
        <v>859</v>
      </c>
      <c r="D93" s="4">
        <v>117000</v>
      </c>
      <c r="E93" s="4">
        <v>231000</v>
      </c>
      <c r="F93" s="4">
        <v>174000</v>
      </c>
      <c r="G93" s="1" t="s">
        <v>1200</v>
      </c>
      <c r="H93" t="s">
        <v>1439</v>
      </c>
      <c r="I93" s="1" t="s">
        <v>1189</v>
      </c>
      <c r="J93" s="1" t="s">
        <v>781</v>
      </c>
      <c r="K93" s="1" t="s">
        <v>89</v>
      </c>
      <c r="L93" s="1" t="s">
        <v>89</v>
      </c>
      <c r="M93" s="1" t="s">
        <v>44</v>
      </c>
      <c r="N93" s="1" t="s">
        <v>236</v>
      </c>
      <c r="O93" s="1" t="s">
        <v>67</v>
      </c>
      <c r="P93">
        <v>50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 t="s">
        <v>71</v>
      </c>
      <c r="AH93" s="1" t="str">
        <f t="shared" si="1"/>
        <v>Sr</v>
      </c>
      <c r="AI93" t="s">
        <v>34</v>
      </c>
      <c r="AJ93" s="4">
        <v>174</v>
      </c>
      <c r="AK93" s="1">
        <f>Table1[[#This Row],[avg_salary]]*1000</f>
        <v>174000</v>
      </c>
    </row>
    <row r="94" spans="1:37" x14ac:dyDescent="0.3">
      <c r="A94" s="1">
        <v>102</v>
      </c>
      <c r="B94" s="1" t="s">
        <v>237</v>
      </c>
      <c r="C94" s="1" t="s">
        <v>793</v>
      </c>
      <c r="D94" s="4">
        <v>64000</v>
      </c>
      <c r="E94" s="4">
        <v>106000</v>
      </c>
      <c r="F94" s="4">
        <v>85000</v>
      </c>
      <c r="G94" s="1" t="s">
        <v>1243</v>
      </c>
      <c r="H94" t="s">
        <v>1454</v>
      </c>
      <c r="I94" s="1" t="s">
        <v>1244</v>
      </c>
      <c r="J94" s="1" t="s">
        <v>781</v>
      </c>
      <c r="K94" s="1" t="s">
        <v>238</v>
      </c>
      <c r="L94" s="1" t="s">
        <v>62</v>
      </c>
      <c r="M94" s="1" t="s">
        <v>58</v>
      </c>
      <c r="N94" s="1" t="s">
        <v>239</v>
      </c>
      <c r="O94" s="1" t="s">
        <v>197</v>
      </c>
      <c r="P94">
        <v>22</v>
      </c>
      <c r="Q94" s="1">
        <v>1</v>
      </c>
      <c r="R94" s="1">
        <v>1</v>
      </c>
      <c r="S94" s="1">
        <v>0</v>
      </c>
      <c r="T94" s="1">
        <v>0</v>
      </c>
      <c r="U94" s="1">
        <v>1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33</v>
      </c>
      <c r="AH94" s="1" t="str">
        <f t="shared" si="1"/>
        <v>Jr</v>
      </c>
      <c r="AI94" t="s">
        <v>34</v>
      </c>
      <c r="AJ94" s="4">
        <v>85</v>
      </c>
      <c r="AK94" s="1">
        <f>Table1[[#This Row],[avg_salary]]*1000</f>
        <v>85000</v>
      </c>
    </row>
    <row r="95" spans="1:37" x14ac:dyDescent="0.3">
      <c r="A95" s="1">
        <v>104</v>
      </c>
      <c r="B95" s="1" t="s">
        <v>240</v>
      </c>
      <c r="C95" s="1" t="s">
        <v>860</v>
      </c>
      <c r="D95" s="4">
        <v>79000</v>
      </c>
      <c r="E95" s="4">
        <v>134000</v>
      </c>
      <c r="F95" s="4">
        <v>106500</v>
      </c>
      <c r="G95" s="1" t="s">
        <v>1260</v>
      </c>
      <c r="H95" t="s">
        <v>1436</v>
      </c>
      <c r="I95" s="1" t="s">
        <v>1178</v>
      </c>
      <c r="J95" s="1" t="s">
        <v>780</v>
      </c>
      <c r="K95" s="1" t="s">
        <v>143</v>
      </c>
      <c r="L95" s="1" t="s">
        <v>74</v>
      </c>
      <c r="M95" s="1" t="s">
        <v>121</v>
      </c>
      <c r="N95" s="1" t="s">
        <v>241</v>
      </c>
      <c r="O95" s="1" t="s">
        <v>41</v>
      </c>
      <c r="P95">
        <v>48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242</v>
      </c>
      <c r="AH95" s="1" t="str">
        <f t="shared" si="1"/>
        <v>Jr</v>
      </c>
      <c r="AI95" t="s">
        <v>72</v>
      </c>
      <c r="AJ95" s="4">
        <v>106.5</v>
      </c>
      <c r="AK95" s="1">
        <f>Table1[[#This Row],[avg_salary]]*1000</f>
        <v>106500</v>
      </c>
    </row>
    <row r="96" spans="1:37" x14ac:dyDescent="0.3">
      <c r="A96" s="1">
        <v>105</v>
      </c>
      <c r="B96" s="1" t="s">
        <v>243</v>
      </c>
      <c r="C96" s="1" t="s">
        <v>861</v>
      </c>
      <c r="D96" s="4">
        <v>52000</v>
      </c>
      <c r="E96" s="4">
        <v>93000</v>
      </c>
      <c r="F96" s="4">
        <v>72500</v>
      </c>
      <c r="G96" s="1" t="s">
        <v>1261</v>
      </c>
      <c r="H96" t="s">
        <v>1436</v>
      </c>
      <c r="I96" s="1" t="s">
        <v>1178</v>
      </c>
      <c r="J96" s="1" t="s">
        <v>780</v>
      </c>
      <c r="K96" s="1" t="s">
        <v>143</v>
      </c>
      <c r="L96" s="1" t="s">
        <v>74</v>
      </c>
      <c r="M96" s="1" t="s">
        <v>44</v>
      </c>
      <c r="N96" s="1" t="s">
        <v>244</v>
      </c>
      <c r="O96" s="1" t="s">
        <v>41</v>
      </c>
      <c r="P96">
        <v>44</v>
      </c>
      <c r="Q96" s="1">
        <v>0</v>
      </c>
      <c r="R96" s="1">
        <v>0</v>
      </c>
      <c r="S96" s="1">
        <v>0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88</v>
      </c>
      <c r="AH96" s="1" t="str">
        <f t="shared" si="1"/>
        <v>Jr</v>
      </c>
      <c r="AI96" t="s">
        <v>34</v>
      </c>
      <c r="AJ96" s="4">
        <v>72.5</v>
      </c>
      <c r="AK96" s="1">
        <f>Table1[[#This Row],[avg_salary]]*1000</f>
        <v>72500</v>
      </c>
    </row>
    <row r="97" spans="1:37" x14ac:dyDescent="0.3">
      <c r="A97" s="1">
        <v>106</v>
      </c>
      <c r="B97" s="1" t="s">
        <v>156</v>
      </c>
      <c r="C97" s="1" t="s">
        <v>862</v>
      </c>
      <c r="D97" s="4">
        <v>55000</v>
      </c>
      <c r="E97" s="4">
        <v>116000</v>
      </c>
      <c r="F97" s="4">
        <v>85500</v>
      </c>
      <c r="G97" s="1" t="s">
        <v>1262</v>
      </c>
      <c r="H97" t="s">
        <v>1436</v>
      </c>
      <c r="I97" s="1" t="s">
        <v>1178</v>
      </c>
      <c r="J97" s="1" t="s">
        <v>93</v>
      </c>
      <c r="K97" s="1" t="s">
        <v>143</v>
      </c>
      <c r="L97" s="1" t="s">
        <v>74</v>
      </c>
      <c r="M97" s="1" t="s">
        <v>84</v>
      </c>
      <c r="N97" s="1" t="s">
        <v>245</v>
      </c>
      <c r="O97" s="1" t="s">
        <v>41</v>
      </c>
      <c r="P97">
        <v>39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 t="s">
        <v>71</v>
      </c>
      <c r="AH97" s="1" t="str">
        <f t="shared" si="1"/>
        <v>Jr</v>
      </c>
      <c r="AI97" t="s">
        <v>34</v>
      </c>
      <c r="AJ97" s="4">
        <v>85.5</v>
      </c>
      <c r="AK97" s="1">
        <f>Table1[[#This Row],[avg_salary]]*1000</f>
        <v>85500</v>
      </c>
    </row>
    <row r="98" spans="1:37" x14ac:dyDescent="0.3">
      <c r="A98" s="1">
        <v>107</v>
      </c>
      <c r="B98" s="1" t="s">
        <v>28</v>
      </c>
      <c r="C98" s="1" t="s">
        <v>863</v>
      </c>
      <c r="D98" s="4">
        <v>72000</v>
      </c>
      <c r="E98" s="4">
        <v>123000</v>
      </c>
      <c r="F98" s="4">
        <v>97500</v>
      </c>
      <c r="G98" s="1" t="s">
        <v>1263</v>
      </c>
      <c r="H98" t="s">
        <v>1440</v>
      </c>
      <c r="I98" s="1" t="s">
        <v>1192</v>
      </c>
      <c r="J98" s="1" t="s">
        <v>107</v>
      </c>
      <c r="K98" s="1" t="s">
        <v>246</v>
      </c>
      <c r="L98" s="1" t="s">
        <v>47</v>
      </c>
      <c r="M98" s="1" t="s">
        <v>58</v>
      </c>
      <c r="N98" s="1" t="s">
        <v>247</v>
      </c>
      <c r="O98" s="1" t="s">
        <v>81</v>
      </c>
      <c r="P98">
        <v>52</v>
      </c>
      <c r="Q98" s="1">
        <v>1</v>
      </c>
      <c r="R98" s="1">
        <v>0</v>
      </c>
      <c r="S98" s="1">
        <v>0</v>
      </c>
      <c r="T98" s="1">
        <v>1</v>
      </c>
      <c r="U98" s="1">
        <v>1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1</v>
      </c>
      <c r="AD98" s="1">
        <v>0</v>
      </c>
      <c r="AE98" s="1">
        <v>1</v>
      </c>
      <c r="AF98" s="1">
        <v>0</v>
      </c>
      <c r="AG98" s="1" t="s">
        <v>33</v>
      </c>
      <c r="AH98" s="1" t="str">
        <f t="shared" si="1"/>
        <v>Jr</v>
      </c>
      <c r="AI98" t="s">
        <v>72</v>
      </c>
      <c r="AJ98" s="4">
        <v>97.5</v>
      </c>
      <c r="AK98" s="1">
        <f>Table1[[#This Row],[avg_salary]]*1000</f>
        <v>97500</v>
      </c>
    </row>
    <row r="99" spans="1:37" x14ac:dyDescent="0.3">
      <c r="A99" s="1">
        <v>108</v>
      </c>
      <c r="B99" s="1" t="s">
        <v>28</v>
      </c>
      <c r="C99" s="1" t="s">
        <v>864</v>
      </c>
      <c r="D99" s="4">
        <v>74000</v>
      </c>
      <c r="E99" s="4">
        <v>124000</v>
      </c>
      <c r="F99" s="4">
        <v>99000</v>
      </c>
      <c r="G99" s="1" t="s">
        <v>1264</v>
      </c>
      <c r="H99" t="s">
        <v>1440</v>
      </c>
      <c r="I99" s="1" t="s">
        <v>1192</v>
      </c>
      <c r="J99" s="1" t="s">
        <v>780</v>
      </c>
      <c r="K99" s="1" t="s">
        <v>143</v>
      </c>
      <c r="L99" s="1" t="s">
        <v>74</v>
      </c>
      <c r="M99" s="1" t="s">
        <v>44</v>
      </c>
      <c r="N99" s="1" t="s">
        <v>214</v>
      </c>
      <c r="O99" s="1" t="s">
        <v>81</v>
      </c>
      <c r="P99">
        <v>26</v>
      </c>
      <c r="Q99" s="1">
        <v>1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 t="s">
        <v>33</v>
      </c>
      <c r="AH99" s="1" t="str">
        <f t="shared" si="1"/>
        <v>Jr</v>
      </c>
      <c r="AI99" t="s">
        <v>72</v>
      </c>
      <c r="AJ99" s="4">
        <v>99</v>
      </c>
      <c r="AK99" s="1">
        <f>Table1[[#This Row],[avg_salary]]*1000</f>
        <v>99000</v>
      </c>
    </row>
    <row r="100" spans="1:37" x14ac:dyDescent="0.3">
      <c r="A100" s="1">
        <v>109</v>
      </c>
      <c r="B100" s="1" t="s">
        <v>86</v>
      </c>
      <c r="C100" s="1" t="s">
        <v>865</v>
      </c>
      <c r="D100" s="4">
        <v>40000</v>
      </c>
      <c r="E100" s="4">
        <v>73000</v>
      </c>
      <c r="F100" s="4">
        <v>56500</v>
      </c>
      <c r="G100" s="1" t="s">
        <v>1265</v>
      </c>
      <c r="H100" t="s">
        <v>1457</v>
      </c>
      <c r="I100" s="1" t="s">
        <v>1266</v>
      </c>
      <c r="J100" s="1" t="s">
        <v>780</v>
      </c>
      <c r="K100" s="1" t="s">
        <v>108</v>
      </c>
      <c r="L100" s="1" t="s">
        <v>109</v>
      </c>
      <c r="M100" s="1" t="s">
        <v>39</v>
      </c>
      <c r="N100" s="1" t="s">
        <v>248</v>
      </c>
      <c r="O100" s="1" t="s">
        <v>249</v>
      </c>
      <c r="P100">
        <v>31</v>
      </c>
      <c r="Q100" s="1">
        <v>0</v>
      </c>
      <c r="R100" s="1">
        <v>0</v>
      </c>
      <c r="S100" s="1">
        <v>0</v>
      </c>
      <c r="T100" s="1">
        <v>1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 t="s">
        <v>88</v>
      </c>
      <c r="AH100" s="1" t="str">
        <f t="shared" si="1"/>
        <v>Jr</v>
      </c>
      <c r="AI100" t="s">
        <v>34</v>
      </c>
      <c r="AJ100" s="4">
        <v>56.5</v>
      </c>
      <c r="AK100" s="1">
        <f>Table1[[#This Row],[avg_salary]]*1000</f>
        <v>56500</v>
      </c>
    </row>
    <row r="101" spans="1:37" x14ac:dyDescent="0.3">
      <c r="A101" s="1">
        <v>110</v>
      </c>
      <c r="B101" s="1" t="s">
        <v>163</v>
      </c>
      <c r="C101" s="1" t="s">
        <v>866</v>
      </c>
      <c r="D101" s="4">
        <v>102000</v>
      </c>
      <c r="E101" s="4">
        <v>164000</v>
      </c>
      <c r="F101" s="4">
        <v>133000</v>
      </c>
      <c r="G101" s="1" t="s">
        <v>1267</v>
      </c>
      <c r="H101" t="s">
        <v>1436</v>
      </c>
      <c r="I101" s="1" t="s">
        <v>1178</v>
      </c>
      <c r="J101" s="1" t="s">
        <v>780</v>
      </c>
      <c r="K101" s="1" t="s">
        <v>143</v>
      </c>
      <c r="L101" s="1" t="s">
        <v>74</v>
      </c>
      <c r="M101" s="1" t="s">
        <v>54</v>
      </c>
      <c r="N101" s="1" t="s">
        <v>250</v>
      </c>
      <c r="O101" s="1" t="s">
        <v>41</v>
      </c>
      <c r="P101">
        <v>60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 t="s">
        <v>33</v>
      </c>
      <c r="AH101" s="1" t="str">
        <f t="shared" si="1"/>
        <v>Sr</v>
      </c>
      <c r="AI101" t="s">
        <v>34</v>
      </c>
      <c r="AJ101" s="4">
        <v>133</v>
      </c>
      <c r="AK101" s="1">
        <f>Table1[[#This Row],[avg_salary]]*1000</f>
        <v>133000</v>
      </c>
    </row>
    <row r="102" spans="1:37" x14ac:dyDescent="0.3">
      <c r="A102" s="1">
        <v>112</v>
      </c>
      <c r="B102" s="1" t="s">
        <v>28</v>
      </c>
      <c r="C102" s="1" t="s">
        <v>867</v>
      </c>
      <c r="D102" s="4">
        <v>89000</v>
      </c>
      <c r="E102" s="4">
        <v>153000</v>
      </c>
      <c r="F102" s="4">
        <v>121000</v>
      </c>
      <c r="G102" s="1" t="s">
        <v>1183</v>
      </c>
      <c r="H102" t="s">
        <v>1183</v>
      </c>
      <c r="I102" s="1" t="s">
        <v>1184</v>
      </c>
      <c r="J102" s="1" t="s">
        <v>780</v>
      </c>
      <c r="K102" s="1" t="s">
        <v>79</v>
      </c>
      <c r="L102" s="1" t="s">
        <v>43</v>
      </c>
      <c r="M102" s="1" t="s">
        <v>54</v>
      </c>
      <c r="N102" s="1" t="s">
        <v>251</v>
      </c>
      <c r="O102" s="1" t="s">
        <v>56</v>
      </c>
      <c r="P102">
        <v>59</v>
      </c>
      <c r="Q102" s="1">
        <v>1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</v>
      </c>
      <c r="Y102" s="1">
        <v>1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 t="s">
        <v>33</v>
      </c>
      <c r="AH102" s="1" t="str">
        <f t="shared" si="1"/>
        <v>Sr</v>
      </c>
      <c r="AI102" t="s">
        <v>34</v>
      </c>
      <c r="AJ102" s="4">
        <v>121</v>
      </c>
      <c r="AK102" s="1">
        <f>Table1[[#This Row],[avg_salary]]*1000</f>
        <v>121000</v>
      </c>
    </row>
    <row r="103" spans="1:37" x14ac:dyDescent="0.3">
      <c r="A103" s="1">
        <v>113</v>
      </c>
      <c r="B103" s="1" t="s">
        <v>28</v>
      </c>
      <c r="C103" s="1" t="s">
        <v>868</v>
      </c>
      <c r="D103" s="4">
        <v>61000</v>
      </c>
      <c r="E103" s="4">
        <v>110000</v>
      </c>
      <c r="F103" s="4">
        <v>85500</v>
      </c>
      <c r="G103" s="1" t="s">
        <v>1268</v>
      </c>
      <c r="H103" t="s">
        <v>1183</v>
      </c>
      <c r="I103" s="1" t="s">
        <v>1184</v>
      </c>
      <c r="J103" s="1" t="s">
        <v>780</v>
      </c>
      <c r="K103" s="1" t="s">
        <v>42</v>
      </c>
      <c r="L103" s="1" t="s">
        <v>43</v>
      </c>
      <c r="M103" s="1" t="s">
        <v>54</v>
      </c>
      <c r="N103" s="1" t="s">
        <v>252</v>
      </c>
      <c r="O103" s="1" t="s">
        <v>56</v>
      </c>
      <c r="P103">
        <v>32</v>
      </c>
      <c r="Q103" s="1">
        <v>1</v>
      </c>
      <c r="R103" s="1">
        <v>0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 t="s">
        <v>33</v>
      </c>
      <c r="AH103" s="1" t="str">
        <f t="shared" si="1"/>
        <v>Jr</v>
      </c>
      <c r="AI103" t="s">
        <v>34</v>
      </c>
      <c r="AJ103" s="4">
        <v>85.5</v>
      </c>
      <c r="AK103" s="1">
        <f>Table1[[#This Row],[avg_salary]]*1000</f>
        <v>85500</v>
      </c>
    </row>
    <row r="104" spans="1:37" x14ac:dyDescent="0.3">
      <c r="A104" s="1">
        <v>116</v>
      </c>
      <c r="B104" s="1" t="s">
        <v>253</v>
      </c>
      <c r="C104" s="1" t="s">
        <v>869</v>
      </c>
      <c r="D104" s="4">
        <v>65000</v>
      </c>
      <c r="E104" s="4">
        <v>110000</v>
      </c>
      <c r="F104" s="4">
        <v>87500</v>
      </c>
      <c r="G104" s="1" t="s">
        <v>1269</v>
      </c>
      <c r="H104" t="s">
        <v>1438</v>
      </c>
      <c r="I104" s="1" t="s">
        <v>1186</v>
      </c>
      <c r="J104" s="1" t="s">
        <v>93</v>
      </c>
      <c r="K104" s="1" t="s">
        <v>254</v>
      </c>
      <c r="L104" s="1" t="s">
        <v>255</v>
      </c>
      <c r="M104" s="1" t="s">
        <v>54</v>
      </c>
      <c r="N104" s="1" t="s">
        <v>256</v>
      </c>
      <c r="O104" s="1" t="s">
        <v>60</v>
      </c>
      <c r="P104">
        <v>48</v>
      </c>
      <c r="Q104" s="1">
        <v>1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33</v>
      </c>
      <c r="AH104" s="1" t="str">
        <f t="shared" si="1"/>
        <v>Jr</v>
      </c>
      <c r="AI104" t="s">
        <v>72</v>
      </c>
      <c r="AJ104" s="4">
        <v>87.5</v>
      </c>
      <c r="AK104" s="1">
        <f>Table1[[#This Row],[avg_salary]]*1000</f>
        <v>87500</v>
      </c>
    </row>
    <row r="105" spans="1:37" x14ac:dyDescent="0.3">
      <c r="A105" s="1">
        <v>117</v>
      </c>
      <c r="B105" s="1" t="s">
        <v>148</v>
      </c>
      <c r="C105" s="1" t="s">
        <v>1409</v>
      </c>
      <c r="D105" s="4">
        <v>200000</v>
      </c>
      <c r="E105" s="4">
        <v>275000</v>
      </c>
      <c r="F105" s="4">
        <v>237500</v>
      </c>
      <c r="G105" s="1" t="s">
        <v>1223</v>
      </c>
      <c r="H105" t="s">
        <v>1449</v>
      </c>
      <c r="I105" s="1" t="s">
        <v>1224</v>
      </c>
      <c r="J105" s="1" t="s">
        <v>780</v>
      </c>
      <c r="K105" s="1" t="s">
        <v>64</v>
      </c>
      <c r="L105" s="1" t="s">
        <v>43</v>
      </c>
      <c r="M105" s="1" t="s">
        <v>54</v>
      </c>
      <c r="N105" s="1" t="s">
        <v>257</v>
      </c>
      <c r="O105" s="1" t="s">
        <v>162</v>
      </c>
      <c r="P105">
        <v>46</v>
      </c>
      <c r="Q105" s="1">
        <v>1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 t="s">
        <v>33</v>
      </c>
      <c r="AH105" s="1" t="str">
        <f t="shared" si="1"/>
        <v>Sr</v>
      </c>
      <c r="AI105" t="s">
        <v>34</v>
      </c>
      <c r="AJ105" s="4">
        <v>237.5</v>
      </c>
      <c r="AK105" s="1">
        <f>Table1[[#This Row],[avg_salary]]*1000</f>
        <v>237500</v>
      </c>
    </row>
    <row r="106" spans="1:37" x14ac:dyDescent="0.3">
      <c r="A106" s="1">
        <v>118</v>
      </c>
      <c r="B106" s="1" t="s">
        <v>150</v>
      </c>
      <c r="C106" s="1" t="s">
        <v>870</v>
      </c>
      <c r="D106" s="4">
        <v>68000</v>
      </c>
      <c r="E106" s="4">
        <v>123000</v>
      </c>
      <c r="F106" s="4">
        <v>95500</v>
      </c>
      <c r="G106" s="1" t="s">
        <v>1270</v>
      </c>
      <c r="H106" t="s">
        <v>1458</v>
      </c>
      <c r="I106" s="1" t="s">
        <v>1271</v>
      </c>
      <c r="J106" s="1" t="s">
        <v>780</v>
      </c>
      <c r="K106" s="1" t="s">
        <v>143</v>
      </c>
      <c r="L106" s="1" t="s">
        <v>74</v>
      </c>
      <c r="M106" s="1" t="s">
        <v>44</v>
      </c>
      <c r="N106" s="1" t="s">
        <v>258</v>
      </c>
      <c r="O106" s="1" t="s">
        <v>259</v>
      </c>
      <c r="P106">
        <v>35</v>
      </c>
      <c r="Q106" s="1">
        <v>1</v>
      </c>
      <c r="R106" s="1">
        <v>1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 t="s">
        <v>98</v>
      </c>
      <c r="AH106" s="1" t="str">
        <f t="shared" si="1"/>
        <v>Jr</v>
      </c>
      <c r="AI106" t="s">
        <v>34</v>
      </c>
      <c r="AJ106" s="4">
        <v>95.5</v>
      </c>
      <c r="AK106" s="1">
        <f>Table1[[#This Row],[avg_salary]]*1000</f>
        <v>95500</v>
      </c>
    </row>
    <row r="107" spans="1:37" x14ac:dyDescent="0.3">
      <c r="A107" s="1">
        <v>119</v>
      </c>
      <c r="B107" s="1" t="s">
        <v>148</v>
      </c>
      <c r="C107" s="1" t="s">
        <v>871</v>
      </c>
      <c r="D107" s="4">
        <v>80000</v>
      </c>
      <c r="E107" s="4">
        <v>129000</v>
      </c>
      <c r="F107" s="4">
        <v>104500</v>
      </c>
      <c r="G107" s="1" t="s">
        <v>1272</v>
      </c>
      <c r="H107" t="s">
        <v>1448</v>
      </c>
      <c r="I107" s="1" t="s">
        <v>1214</v>
      </c>
      <c r="J107" s="1" t="s">
        <v>781</v>
      </c>
      <c r="K107" s="1" t="s">
        <v>260</v>
      </c>
      <c r="L107" s="1" t="s">
        <v>158</v>
      </c>
      <c r="M107" s="1" t="s">
        <v>130</v>
      </c>
      <c r="N107" s="1" t="s">
        <v>261</v>
      </c>
      <c r="O107" s="1" t="s">
        <v>135</v>
      </c>
      <c r="P107">
        <v>22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  <c r="AG107" s="1" t="s">
        <v>33</v>
      </c>
      <c r="AH107" s="1" t="str">
        <f t="shared" si="1"/>
        <v>Jr</v>
      </c>
      <c r="AI107" t="s">
        <v>34</v>
      </c>
      <c r="AJ107" s="4">
        <v>104.5</v>
      </c>
      <c r="AK107" s="1">
        <f>Table1[[#This Row],[avg_salary]]*1000</f>
        <v>104500</v>
      </c>
    </row>
    <row r="108" spans="1:37" x14ac:dyDescent="0.3">
      <c r="A108" s="1">
        <v>120</v>
      </c>
      <c r="B108" s="1" t="s">
        <v>262</v>
      </c>
      <c r="C108" s="1" t="s">
        <v>838</v>
      </c>
      <c r="D108" s="4">
        <v>41000</v>
      </c>
      <c r="E108" s="4">
        <v>72000</v>
      </c>
      <c r="F108" s="4">
        <v>56500</v>
      </c>
      <c r="G108" s="1" t="s">
        <v>1273</v>
      </c>
      <c r="H108" t="s">
        <v>1442</v>
      </c>
      <c r="I108" s="1" t="s">
        <v>1198</v>
      </c>
      <c r="J108" s="1" t="s">
        <v>780</v>
      </c>
      <c r="K108" s="1" t="s">
        <v>145</v>
      </c>
      <c r="L108" s="1" t="s">
        <v>74</v>
      </c>
      <c r="M108" s="1" t="s">
        <v>54</v>
      </c>
      <c r="N108" s="1" t="s">
        <v>263</v>
      </c>
      <c r="O108" s="1" t="s">
        <v>97</v>
      </c>
      <c r="P108">
        <v>46</v>
      </c>
      <c r="Q108" s="1">
        <v>0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 t="s">
        <v>88</v>
      </c>
      <c r="AH108" s="1" t="str">
        <f t="shared" si="1"/>
        <v>Jr</v>
      </c>
      <c r="AI108" t="s">
        <v>34</v>
      </c>
      <c r="AJ108" s="4">
        <v>56.5</v>
      </c>
      <c r="AK108" s="1">
        <f>Table1[[#This Row],[avg_salary]]*1000</f>
        <v>56500</v>
      </c>
    </row>
    <row r="109" spans="1:37" x14ac:dyDescent="0.3">
      <c r="A109" s="1">
        <v>122</v>
      </c>
      <c r="B109" s="1" t="s">
        <v>264</v>
      </c>
      <c r="C109" s="1" t="s">
        <v>872</v>
      </c>
      <c r="D109" s="4">
        <v>39000</v>
      </c>
      <c r="E109" s="4">
        <v>71000</v>
      </c>
      <c r="F109" s="4">
        <v>55000</v>
      </c>
      <c r="G109" s="1" t="s">
        <v>1274</v>
      </c>
      <c r="H109" t="s">
        <v>1459</v>
      </c>
      <c r="I109" s="1" t="s">
        <v>1275</v>
      </c>
      <c r="J109" s="1" t="s">
        <v>780</v>
      </c>
      <c r="K109" s="1" t="s">
        <v>103</v>
      </c>
      <c r="L109" s="1" t="s">
        <v>74</v>
      </c>
      <c r="M109" s="1" t="s">
        <v>65</v>
      </c>
      <c r="N109" s="1" t="s">
        <v>265</v>
      </c>
      <c r="O109" s="1" t="s">
        <v>266</v>
      </c>
      <c r="P109">
        <v>30</v>
      </c>
      <c r="Q109" s="1">
        <v>0</v>
      </c>
      <c r="R109" s="1">
        <v>0</v>
      </c>
      <c r="S109" s="1">
        <v>0</v>
      </c>
      <c r="T109" s="1">
        <v>1</v>
      </c>
      <c r="U109" s="1">
        <v>1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</v>
      </c>
      <c r="AD109" s="1">
        <v>0</v>
      </c>
      <c r="AE109" s="1">
        <v>0</v>
      </c>
      <c r="AF109" s="1">
        <v>0</v>
      </c>
      <c r="AG109" s="1" t="s">
        <v>88</v>
      </c>
      <c r="AH109" s="1" t="str">
        <f t="shared" si="1"/>
        <v>Jr</v>
      </c>
      <c r="AI109" t="s">
        <v>34</v>
      </c>
      <c r="AJ109" s="4">
        <v>55</v>
      </c>
      <c r="AK109" s="1">
        <f>Table1[[#This Row],[avg_salary]]*1000</f>
        <v>55000</v>
      </c>
    </row>
    <row r="110" spans="1:37" x14ac:dyDescent="0.3">
      <c r="A110" s="1">
        <v>123</v>
      </c>
      <c r="B110" s="1" t="s">
        <v>68</v>
      </c>
      <c r="C110" s="1" t="s">
        <v>873</v>
      </c>
      <c r="D110" s="4">
        <v>38000</v>
      </c>
      <c r="E110" s="4">
        <v>85000</v>
      </c>
      <c r="F110" s="4">
        <v>61500</v>
      </c>
      <c r="G110" s="1" t="s">
        <v>1276</v>
      </c>
      <c r="H110" t="s">
        <v>1460</v>
      </c>
      <c r="I110" s="1" t="s">
        <v>1277</v>
      </c>
      <c r="J110" s="1" t="s">
        <v>69</v>
      </c>
      <c r="K110" s="1" t="s">
        <v>37</v>
      </c>
      <c r="L110" s="1" t="s">
        <v>38</v>
      </c>
      <c r="M110" s="1" t="s">
        <v>54</v>
      </c>
      <c r="N110" s="1" t="s">
        <v>267</v>
      </c>
      <c r="O110" s="1" t="s">
        <v>268</v>
      </c>
      <c r="P110">
        <v>54</v>
      </c>
      <c r="Q110" s="1">
        <v>0</v>
      </c>
      <c r="R110" s="1">
        <v>0</v>
      </c>
      <c r="S110" s="1">
        <v>0</v>
      </c>
      <c r="T110" s="1">
        <v>1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 t="s">
        <v>71</v>
      </c>
      <c r="AH110" s="1" t="str">
        <f t="shared" si="1"/>
        <v>Jr</v>
      </c>
      <c r="AI110" t="s">
        <v>72</v>
      </c>
      <c r="AJ110" s="4">
        <v>61.5</v>
      </c>
      <c r="AK110" s="1">
        <f>Table1[[#This Row],[avg_salary]]*1000</f>
        <v>61500</v>
      </c>
    </row>
    <row r="111" spans="1:37" x14ac:dyDescent="0.3">
      <c r="A111" s="1">
        <v>124</v>
      </c>
      <c r="B111" s="1" t="s">
        <v>28</v>
      </c>
      <c r="C111" s="1" t="s">
        <v>874</v>
      </c>
      <c r="D111" s="4">
        <v>121000</v>
      </c>
      <c r="E111" s="4">
        <v>193000</v>
      </c>
      <c r="F111" s="4">
        <v>157000</v>
      </c>
      <c r="G111" s="1" t="s">
        <v>1200</v>
      </c>
      <c r="H111" t="s">
        <v>1439</v>
      </c>
      <c r="I111" s="1" t="s">
        <v>1189</v>
      </c>
      <c r="J111" s="1" t="s">
        <v>780</v>
      </c>
      <c r="K111" s="1" t="s">
        <v>145</v>
      </c>
      <c r="L111" s="1" t="s">
        <v>74</v>
      </c>
      <c r="M111" s="1" t="s">
        <v>44</v>
      </c>
      <c r="N111" s="1" t="s">
        <v>269</v>
      </c>
      <c r="O111" s="1" t="s">
        <v>67</v>
      </c>
      <c r="P111">
        <v>23</v>
      </c>
      <c r="Q111" s="1">
        <v>0</v>
      </c>
      <c r="R111" s="1">
        <v>1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 t="s">
        <v>33</v>
      </c>
      <c r="AH111" s="1" t="str">
        <f t="shared" si="1"/>
        <v>Sr</v>
      </c>
      <c r="AI111" t="s">
        <v>34</v>
      </c>
      <c r="AJ111" s="4">
        <v>157</v>
      </c>
      <c r="AK111" s="1">
        <f>Table1[[#This Row],[avg_salary]]*1000</f>
        <v>157000</v>
      </c>
    </row>
    <row r="112" spans="1:37" x14ac:dyDescent="0.3">
      <c r="A112" s="1">
        <v>125</v>
      </c>
      <c r="B112" s="1" t="s">
        <v>150</v>
      </c>
      <c r="C112" s="1" t="s">
        <v>875</v>
      </c>
      <c r="D112" s="4">
        <v>54000</v>
      </c>
      <c r="E112" s="4">
        <v>102000</v>
      </c>
      <c r="F112" s="4">
        <v>78000</v>
      </c>
      <c r="G112" s="1" t="s">
        <v>1278</v>
      </c>
      <c r="H112" t="s">
        <v>1442</v>
      </c>
      <c r="I112" s="1" t="s">
        <v>1198</v>
      </c>
      <c r="J112" s="1" t="s">
        <v>780</v>
      </c>
      <c r="K112" s="1" t="s">
        <v>73</v>
      </c>
      <c r="L112" s="1" t="s">
        <v>74</v>
      </c>
      <c r="M112" s="1" t="s">
        <v>54</v>
      </c>
      <c r="N112" s="1" t="s">
        <v>270</v>
      </c>
      <c r="O112" s="1" t="s">
        <v>97</v>
      </c>
      <c r="P112">
        <v>40</v>
      </c>
      <c r="Q112" s="1">
        <v>1</v>
      </c>
      <c r="R112" s="1">
        <v>0</v>
      </c>
      <c r="S112" s="1">
        <v>0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 t="s">
        <v>98</v>
      </c>
      <c r="AH112" s="1" t="str">
        <f t="shared" si="1"/>
        <v>Jr</v>
      </c>
      <c r="AI112" t="s">
        <v>34</v>
      </c>
      <c r="AJ112" s="4">
        <v>78</v>
      </c>
      <c r="AK112" s="1">
        <f>Table1[[#This Row],[avg_salary]]*1000</f>
        <v>78000</v>
      </c>
    </row>
    <row r="113" spans="1:37" x14ac:dyDescent="0.3">
      <c r="A113" s="1">
        <v>126</v>
      </c>
      <c r="B113" s="1" t="s">
        <v>28</v>
      </c>
      <c r="C113" s="1" t="s">
        <v>796</v>
      </c>
      <c r="D113" s="4">
        <v>83000</v>
      </c>
      <c r="E113" s="4">
        <v>144000</v>
      </c>
      <c r="F113" s="4">
        <v>113500</v>
      </c>
      <c r="G113" s="1" t="s">
        <v>1195</v>
      </c>
      <c r="H113" t="s">
        <v>1441</v>
      </c>
      <c r="I113" s="1" t="s">
        <v>1196</v>
      </c>
      <c r="J113" s="1" t="s">
        <v>781</v>
      </c>
      <c r="K113" s="1" t="s">
        <v>89</v>
      </c>
      <c r="L113" s="1" t="s">
        <v>89</v>
      </c>
      <c r="M113" s="1" t="s">
        <v>84</v>
      </c>
      <c r="N113" s="1" t="s">
        <v>90</v>
      </c>
      <c r="O113" s="1" t="s">
        <v>91</v>
      </c>
      <c r="P113">
        <v>47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 t="s">
        <v>33</v>
      </c>
      <c r="AH113" s="1" t="str">
        <f t="shared" si="1"/>
        <v>Jr</v>
      </c>
      <c r="AI113" t="s">
        <v>34</v>
      </c>
      <c r="AJ113" s="4">
        <v>113.5</v>
      </c>
      <c r="AK113" s="1">
        <f>Table1[[#This Row],[avg_salary]]*1000</f>
        <v>113500</v>
      </c>
    </row>
    <row r="114" spans="1:37" x14ac:dyDescent="0.3">
      <c r="A114" s="1">
        <v>127</v>
      </c>
      <c r="B114" s="1" t="s">
        <v>28</v>
      </c>
      <c r="C114" s="1" t="s">
        <v>791</v>
      </c>
      <c r="D114" s="4">
        <v>120000</v>
      </c>
      <c r="E114" s="4">
        <v>160000</v>
      </c>
      <c r="F114" s="4">
        <v>140000</v>
      </c>
      <c r="G114" s="1" t="s">
        <v>1183</v>
      </c>
      <c r="H114" t="s">
        <v>1183</v>
      </c>
      <c r="I114" s="1" t="s">
        <v>1184</v>
      </c>
      <c r="J114" s="1" t="s">
        <v>780</v>
      </c>
      <c r="K114" s="1" t="s">
        <v>73</v>
      </c>
      <c r="L114" s="1" t="s">
        <v>74</v>
      </c>
      <c r="M114" s="1" t="s">
        <v>44</v>
      </c>
      <c r="N114" s="1" t="s">
        <v>75</v>
      </c>
      <c r="O114" s="1" t="s">
        <v>56</v>
      </c>
      <c r="P114">
        <v>36</v>
      </c>
      <c r="Q114" s="1">
        <v>1</v>
      </c>
      <c r="R114" s="1">
        <v>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 t="s">
        <v>33</v>
      </c>
      <c r="AH114" s="1" t="str">
        <f t="shared" si="1"/>
        <v>Sr</v>
      </c>
      <c r="AI114" t="s">
        <v>34</v>
      </c>
      <c r="AJ114" s="4">
        <v>140</v>
      </c>
      <c r="AK114" s="1">
        <f>Table1[[#This Row],[avg_salary]]*1000</f>
        <v>140000</v>
      </c>
    </row>
    <row r="115" spans="1:37" x14ac:dyDescent="0.3">
      <c r="A115" s="1">
        <v>128</v>
      </c>
      <c r="B115" s="1" t="s">
        <v>28</v>
      </c>
      <c r="C115" s="1" t="s">
        <v>876</v>
      </c>
      <c r="D115" s="4">
        <v>102000</v>
      </c>
      <c r="E115" s="4">
        <v>163000</v>
      </c>
      <c r="F115" s="4">
        <v>132500</v>
      </c>
      <c r="G115" s="1" t="s">
        <v>1200</v>
      </c>
      <c r="H115" t="s">
        <v>1439</v>
      </c>
      <c r="I115" s="1" t="s">
        <v>1189</v>
      </c>
      <c r="J115" s="1" t="s">
        <v>780</v>
      </c>
      <c r="K115" s="1" t="s">
        <v>103</v>
      </c>
      <c r="L115" s="1" t="s">
        <v>74</v>
      </c>
      <c r="M115" s="1" t="s">
        <v>54</v>
      </c>
      <c r="N115" s="1" t="s">
        <v>271</v>
      </c>
      <c r="O115" s="1" t="s">
        <v>67</v>
      </c>
      <c r="P115">
        <v>40</v>
      </c>
      <c r="Q115" s="1">
        <v>0</v>
      </c>
      <c r="R115" s="1">
        <v>1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 t="s">
        <v>33</v>
      </c>
      <c r="AH115" s="1" t="str">
        <f t="shared" si="1"/>
        <v>Sr</v>
      </c>
      <c r="AI115" t="s">
        <v>34</v>
      </c>
      <c r="AJ115" s="4">
        <v>132.5</v>
      </c>
      <c r="AK115" s="1">
        <f>Table1[[#This Row],[avg_salary]]*1000</f>
        <v>132500</v>
      </c>
    </row>
    <row r="116" spans="1:37" x14ac:dyDescent="0.3">
      <c r="A116" s="1">
        <v>129</v>
      </c>
      <c r="B116" s="1" t="s">
        <v>150</v>
      </c>
      <c r="C116" s="1" t="s">
        <v>877</v>
      </c>
      <c r="D116" s="4">
        <v>76000</v>
      </c>
      <c r="E116" s="4">
        <v>140000</v>
      </c>
      <c r="F116" s="4">
        <v>108000</v>
      </c>
      <c r="G116" s="1" t="s">
        <v>1200</v>
      </c>
      <c r="H116" t="s">
        <v>1439</v>
      </c>
      <c r="I116" s="1" t="s">
        <v>1189</v>
      </c>
      <c r="J116" s="1" t="s">
        <v>781</v>
      </c>
      <c r="K116" s="1" t="s">
        <v>145</v>
      </c>
      <c r="L116" s="1" t="s">
        <v>74</v>
      </c>
      <c r="M116" s="1" t="s">
        <v>39</v>
      </c>
      <c r="N116" s="1" t="s">
        <v>272</v>
      </c>
      <c r="O116" s="1" t="s">
        <v>67</v>
      </c>
      <c r="P116">
        <v>42</v>
      </c>
      <c r="Q116" s="1">
        <v>1</v>
      </c>
      <c r="R116" s="1">
        <v>1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 t="s">
        <v>98</v>
      </c>
      <c r="AH116" s="1" t="str">
        <f t="shared" si="1"/>
        <v>Jr</v>
      </c>
      <c r="AI116" t="s">
        <v>34</v>
      </c>
      <c r="AJ116" s="4">
        <v>108</v>
      </c>
      <c r="AK116" s="1">
        <f>Table1[[#This Row],[avg_salary]]*1000</f>
        <v>108000</v>
      </c>
    </row>
    <row r="117" spans="1:37" x14ac:dyDescent="0.3">
      <c r="A117" s="1">
        <v>130</v>
      </c>
      <c r="B117" s="1" t="s">
        <v>273</v>
      </c>
      <c r="C117" s="1" t="s">
        <v>878</v>
      </c>
      <c r="D117" s="4">
        <v>60000</v>
      </c>
      <c r="E117" s="4">
        <v>101000</v>
      </c>
      <c r="F117" s="4">
        <v>80500</v>
      </c>
      <c r="G117" s="1" t="s">
        <v>1243</v>
      </c>
      <c r="H117" t="s">
        <v>1455</v>
      </c>
      <c r="I117" s="1" t="s">
        <v>1248</v>
      </c>
      <c r="J117" s="1" t="s">
        <v>780</v>
      </c>
      <c r="K117" s="1" t="s">
        <v>274</v>
      </c>
      <c r="L117" s="1" t="s">
        <v>275</v>
      </c>
      <c r="M117" s="1" t="s">
        <v>30</v>
      </c>
      <c r="N117" s="1" t="s">
        <v>276</v>
      </c>
      <c r="O117" s="1" t="s">
        <v>207</v>
      </c>
      <c r="P117">
        <v>26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 t="s">
        <v>33</v>
      </c>
      <c r="AH117" s="1" t="str">
        <f t="shared" si="1"/>
        <v>Jr</v>
      </c>
      <c r="AI117" t="s">
        <v>34</v>
      </c>
      <c r="AJ117" s="4">
        <v>80.5</v>
      </c>
      <c r="AK117" s="1">
        <f>Table1[[#This Row],[avg_salary]]*1000</f>
        <v>80500</v>
      </c>
    </row>
    <row r="118" spans="1:37" x14ac:dyDescent="0.3">
      <c r="A118" s="1">
        <v>131</v>
      </c>
      <c r="B118" s="1" t="s">
        <v>28</v>
      </c>
      <c r="C118" s="1" t="s">
        <v>879</v>
      </c>
      <c r="D118" s="4">
        <v>82000</v>
      </c>
      <c r="E118" s="4">
        <v>133000</v>
      </c>
      <c r="F118" s="4">
        <v>107500</v>
      </c>
      <c r="G118" s="1" t="s">
        <v>1279</v>
      </c>
      <c r="H118" t="s">
        <v>1436</v>
      </c>
      <c r="I118" s="1" t="s">
        <v>1178</v>
      </c>
      <c r="J118" s="1" t="s">
        <v>780</v>
      </c>
      <c r="K118" s="1" t="s">
        <v>37</v>
      </c>
      <c r="L118" s="1" t="s">
        <v>38</v>
      </c>
      <c r="M118" s="1" t="s">
        <v>54</v>
      </c>
      <c r="N118" s="1" t="s">
        <v>277</v>
      </c>
      <c r="O118" s="1" t="s">
        <v>41</v>
      </c>
      <c r="P118">
        <v>33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33</v>
      </c>
      <c r="AH118" s="1" t="str">
        <f t="shared" si="1"/>
        <v>Jr</v>
      </c>
      <c r="AI118" t="s">
        <v>34</v>
      </c>
      <c r="AJ118" s="4">
        <v>107.5</v>
      </c>
      <c r="AK118" s="1">
        <f>Table1[[#This Row],[avg_salary]]*1000</f>
        <v>107500</v>
      </c>
    </row>
    <row r="119" spans="1:37" x14ac:dyDescent="0.3">
      <c r="A119" s="1">
        <v>132</v>
      </c>
      <c r="B119" s="1" t="s">
        <v>150</v>
      </c>
      <c r="C119" s="1" t="s">
        <v>880</v>
      </c>
      <c r="D119" s="4">
        <v>65000</v>
      </c>
      <c r="E119" s="4">
        <v>125000</v>
      </c>
      <c r="F119" s="4">
        <v>95000</v>
      </c>
      <c r="G119" s="1" t="s">
        <v>1280</v>
      </c>
      <c r="H119" t="s">
        <v>1461</v>
      </c>
      <c r="I119" s="1" t="s">
        <v>1281</v>
      </c>
      <c r="J119" s="1" t="s">
        <v>780</v>
      </c>
      <c r="K119" s="1" t="s">
        <v>64</v>
      </c>
      <c r="L119" s="1" t="s">
        <v>43</v>
      </c>
      <c r="M119" s="1" t="s">
        <v>65</v>
      </c>
      <c r="N119" s="1" t="s">
        <v>278</v>
      </c>
      <c r="O119" s="1" t="s">
        <v>279</v>
      </c>
      <c r="P119">
        <v>53</v>
      </c>
      <c r="Q119" s="1">
        <v>0</v>
      </c>
      <c r="R119" s="1">
        <v>1</v>
      </c>
      <c r="S119" s="1">
        <v>1</v>
      </c>
      <c r="T119" s="1">
        <v>0</v>
      </c>
      <c r="U119" s="1">
        <v>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 t="s">
        <v>98</v>
      </c>
      <c r="AH119" s="1" t="str">
        <f t="shared" si="1"/>
        <v>Jr</v>
      </c>
      <c r="AI119" t="s">
        <v>72</v>
      </c>
      <c r="AJ119" s="4">
        <v>95</v>
      </c>
      <c r="AK119" s="1">
        <f>Table1[[#This Row],[avg_salary]]*1000</f>
        <v>95000</v>
      </c>
    </row>
    <row r="120" spans="1:37" x14ac:dyDescent="0.3">
      <c r="A120" s="1">
        <v>136</v>
      </c>
      <c r="B120" s="1" t="s">
        <v>280</v>
      </c>
      <c r="C120" s="1" t="s">
        <v>881</v>
      </c>
      <c r="D120" s="4">
        <v>91000</v>
      </c>
      <c r="E120" s="4">
        <v>148000</v>
      </c>
      <c r="F120" s="4">
        <v>119500</v>
      </c>
      <c r="G120" s="1" t="s">
        <v>1282</v>
      </c>
      <c r="H120" t="s">
        <v>1439</v>
      </c>
      <c r="I120" s="1" t="s">
        <v>1189</v>
      </c>
      <c r="J120" s="1" t="s">
        <v>107</v>
      </c>
      <c r="K120" s="1" t="s">
        <v>37</v>
      </c>
      <c r="L120" s="1" t="s">
        <v>38</v>
      </c>
      <c r="M120" s="1" t="s">
        <v>54</v>
      </c>
      <c r="N120" s="1" t="s">
        <v>281</v>
      </c>
      <c r="O120" s="1" t="s">
        <v>67</v>
      </c>
      <c r="P120">
        <v>35</v>
      </c>
      <c r="Q120" s="1">
        <v>1</v>
      </c>
      <c r="R120" s="1">
        <v>1</v>
      </c>
      <c r="S120" s="1">
        <v>0</v>
      </c>
      <c r="T120" s="1">
        <v>0</v>
      </c>
      <c r="U120" s="1">
        <v>1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 t="s">
        <v>33</v>
      </c>
      <c r="AH120" s="1" t="str">
        <f t="shared" si="1"/>
        <v>Sr</v>
      </c>
      <c r="AI120" t="s">
        <v>34</v>
      </c>
      <c r="AJ120" s="4">
        <v>119.5</v>
      </c>
      <c r="AK120" s="1">
        <f>Table1[[#This Row],[avg_salary]]*1000</f>
        <v>119500</v>
      </c>
    </row>
    <row r="121" spans="1:37" x14ac:dyDescent="0.3">
      <c r="A121" s="1">
        <v>137</v>
      </c>
      <c r="B121" s="1" t="s">
        <v>282</v>
      </c>
      <c r="C121" s="1" t="s">
        <v>882</v>
      </c>
      <c r="D121" s="4">
        <v>95000</v>
      </c>
      <c r="E121" s="4">
        <v>173000</v>
      </c>
      <c r="F121" s="4">
        <v>134000</v>
      </c>
      <c r="G121" s="1" t="s">
        <v>1270</v>
      </c>
      <c r="H121" t="s">
        <v>1458</v>
      </c>
      <c r="I121" s="1" t="s">
        <v>1271</v>
      </c>
      <c r="J121" s="1" t="s">
        <v>780</v>
      </c>
      <c r="K121" s="1" t="s">
        <v>53</v>
      </c>
      <c r="L121" s="1" t="s">
        <v>43</v>
      </c>
      <c r="M121" s="1" t="s">
        <v>58</v>
      </c>
      <c r="N121" s="1" t="s">
        <v>283</v>
      </c>
      <c r="O121" s="1" t="s">
        <v>259</v>
      </c>
      <c r="P121">
        <v>52</v>
      </c>
      <c r="Q121" s="1">
        <v>0</v>
      </c>
      <c r="R121" s="1">
        <v>1</v>
      </c>
      <c r="S121" s="1">
        <v>1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 t="s">
        <v>98</v>
      </c>
      <c r="AH121" s="1" t="str">
        <f t="shared" si="1"/>
        <v>Sr</v>
      </c>
      <c r="AI121" t="s">
        <v>34</v>
      </c>
      <c r="AJ121" s="4">
        <v>134</v>
      </c>
      <c r="AK121" s="1">
        <f>Table1[[#This Row],[avg_salary]]*1000</f>
        <v>134000</v>
      </c>
    </row>
    <row r="122" spans="1:37" x14ac:dyDescent="0.3">
      <c r="A122" s="1">
        <v>138</v>
      </c>
      <c r="B122" s="1" t="s">
        <v>28</v>
      </c>
      <c r="C122" s="1" t="s">
        <v>883</v>
      </c>
      <c r="D122" s="4">
        <v>77000</v>
      </c>
      <c r="E122" s="4">
        <v>124000</v>
      </c>
      <c r="F122" s="4">
        <v>100500</v>
      </c>
      <c r="G122" s="1" t="s">
        <v>1195</v>
      </c>
      <c r="H122" t="s">
        <v>1441</v>
      </c>
      <c r="I122" s="1" t="s">
        <v>1196</v>
      </c>
      <c r="J122" s="1" t="s">
        <v>780</v>
      </c>
      <c r="K122" s="1" t="s">
        <v>103</v>
      </c>
      <c r="L122" s="1" t="s">
        <v>74</v>
      </c>
      <c r="M122" s="1" t="s">
        <v>54</v>
      </c>
      <c r="N122" s="1" t="s">
        <v>284</v>
      </c>
      <c r="O122" s="1" t="s">
        <v>91</v>
      </c>
      <c r="P122">
        <v>42</v>
      </c>
      <c r="Q122" s="1">
        <v>1</v>
      </c>
      <c r="R122" s="1">
        <v>0</v>
      </c>
      <c r="S122" s="1">
        <v>0</v>
      </c>
      <c r="T122" s="1">
        <v>1</v>
      </c>
      <c r="U122" s="1">
        <v>1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1</v>
      </c>
      <c r="AC122" s="1">
        <v>1</v>
      </c>
      <c r="AD122" s="1">
        <v>0</v>
      </c>
      <c r="AE122" s="1">
        <v>0</v>
      </c>
      <c r="AF122" s="1">
        <v>0</v>
      </c>
      <c r="AG122" s="1" t="s">
        <v>33</v>
      </c>
      <c r="AH122" s="1" t="str">
        <f t="shared" si="1"/>
        <v>Jr</v>
      </c>
      <c r="AI122" t="s">
        <v>72</v>
      </c>
      <c r="AJ122" s="4">
        <v>100.5</v>
      </c>
      <c r="AK122" s="1">
        <f>Table1[[#This Row],[avg_salary]]*1000</f>
        <v>100500</v>
      </c>
    </row>
    <row r="123" spans="1:37" x14ac:dyDescent="0.3">
      <c r="A123" s="1">
        <v>139</v>
      </c>
      <c r="B123" s="1" t="s">
        <v>28</v>
      </c>
      <c r="C123" s="1" t="s">
        <v>884</v>
      </c>
      <c r="D123" s="4">
        <v>80000</v>
      </c>
      <c r="E123" s="4">
        <v>135000</v>
      </c>
      <c r="F123" s="4">
        <v>107500</v>
      </c>
      <c r="G123" s="1" t="s">
        <v>1238</v>
      </c>
      <c r="H123" t="s">
        <v>1450</v>
      </c>
      <c r="I123" s="1" t="s">
        <v>1228</v>
      </c>
      <c r="J123" s="1" t="s">
        <v>781</v>
      </c>
      <c r="K123" s="1" t="s">
        <v>285</v>
      </c>
      <c r="L123" s="1" t="s">
        <v>95</v>
      </c>
      <c r="M123" s="1" t="s">
        <v>50</v>
      </c>
      <c r="N123" s="1" t="s">
        <v>286</v>
      </c>
      <c r="O123" s="1" t="s">
        <v>168</v>
      </c>
      <c r="P123">
        <v>44</v>
      </c>
      <c r="Q123" s="1">
        <v>1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 t="s">
        <v>33</v>
      </c>
      <c r="AH123" s="1" t="str">
        <f t="shared" si="1"/>
        <v>Jr</v>
      </c>
      <c r="AI123" t="s">
        <v>34</v>
      </c>
      <c r="AJ123" s="4">
        <v>107.5</v>
      </c>
      <c r="AK123" s="1">
        <f>Table1[[#This Row],[avg_salary]]*1000</f>
        <v>107500</v>
      </c>
    </row>
    <row r="124" spans="1:37" x14ac:dyDescent="0.3">
      <c r="A124" s="1">
        <v>140</v>
      </c>
      <c r="B124" s="1" t="s">
        <v>150</v>
      </c>
      <c r="C124" s="1" t="s">
        <v>885</v>
      </c>
      <c r="D124" s="4">
        <v>85000</v>
      </c>
      <c r="E124" s="4">
        <v>159000</v>
      </c>
      <c r="F124" s="4">
        <v>122000</v>
      </c>
      <c r="G124" s="1" t="s">
        <v>1223</v>
      </c>
      <c r="H124" t="s">
        <v>1449</v>
      </c>
      <c r="I124" s="1" t="s">
        <v>1224</v>
      </c>
      <c r="J124" s="1" t="s">
        <v>780</v>
      </c>
      <c r="K124" s="1" t="s">
        <v>73</v>
      </c>
      <c r="L124" s="1" t="s">
        <v>74</v>
      </c>
      <c r="M124" s="1" t="s">
        <v>54</v>
      </c>
      <c r="N124" s="1" t="s">
        <v>287</v>
      </c>
      <c r="O124" s="1" t="s">
        <v>162</v>
      </c>
      <c r="P124">
        <v>18</v>
      </c>
      <c r="Q124" s="1">
        <v>1</v>
      </c>
      <c r="R124" s="1">
        <v>1</v>
      </c>
      <c r="S124" s="1">
        <v>1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 t="s">
        <v>98</v>
      </c>
      <c r="AH124" s="1" t="str">
        <f t="shared" si="1"/>
        <v>Sr</v>
      </c>
      <c r="AI124" t="s">
        <v>34</v>
      </c>
      <c r="AJ124" s="4">
        <v>122</v>
      </c>
      <c r="AK124" s="1">
        <f>Table1[[#This Row],[avg_salary]]*1000</f>
        <v>122000</v>
      </c>
    </row>
    <row r="125" spans="1:37" x14ac:dyDescent="0.3">
      <c r="A125" s="1">
        <v>141</v>
      </c>
      <c r="B125" s="1" t="s">
        <v>150</v>
      </c>
      <c r="C125" s="1" t="s">
        <v>1410</v>
      </c>
      <c r="D125" s="4">
        <v>80000</v>
      </c>
      <c r="E125" s="4">
        <v>105000</v>
      </c>
      <c r="F125" s="4">
        <v>92500</v>
      </c>
      <c r="G125" s="1" t="s">
        <v>1203</v>
      </c>
      <c r="H125" t="s">
        <v>1444</v>
      </c>
      <c r="I125" s="1" t="s">
        <v>1204</v>
      </c>
      <c r="J125" s="1" t="s">
        <v>781</v>
      </c>
      <c r="K125" s="1" t="s">
        <v>57</v>
      </c>
      <c r="L125" s="1" t="s">
        <v>57</v>
      </c>
      <c r="M125" s="1" t="s">
        <v>39</v>
      </c>
      <c r="N125" s="1" t="s">
        <v>160</v>
      </c>
      <c r="O125" s="1" t="s">
        <v>120</v>
      </c>
      <c r="P125">
        <v>32</v>
      </c>
      <c r="Q125" s="1">
        <v>1</v>
      </c>
      <c r="R125" s="1">
        <v>1</v>
      </c>
      <c r="S125" s="1">
        <v>0</v>
      </c>
      <c r="T125" s="1">
        <v>1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1</v>
      </c>
      <c r="AF125" s="1">
        <v>0</v>
      </c>
      <c r="AG125" s="1" t="s">
        <v>98</v>
      </c>
      <c r="AH125" s="1" t="str">
        <f t="shared" si="1"/>
        <v>Jr</v>
      </c>
      <c r="AI125" t="s">
        <v>72</v>
      </c>
      <c r="AJ125" s="4">
        <v>92.5</v>
      </c>
      <c r="AK125" s="1">
        <f>Table1[[#This Row],[avg_salary]]*1000</f>
        <v>92500</v>
      </c>
    </row>
    <row r="126" spans="1:37" x14ac:dyDescent="0.3">
      <c r="A126" s="1">
        <v>142</v>
      </c>
      <c r="B126" s="1" t="s">
        <v>86</v>
      </c>
      <c r="C126" s="1" t="s">
        <v>886</v>
      </c>
      <c r="D126" s="4">
        <v>43000</v>
      </c>
      <c r="E126" s="4">
        <v>81000</v>
      </c>
      <c r="F126" s="4">
        <v>62000</v>
      </c>
      <c r="G126" s="1" t="s">
        <v>1187</v>
      </c>
      <c r="H126" t="s">
        <v>1436</v>
      </c>
      <c r="I126" s="1" t="s">
        <v>1178</v>
      </c>
      <c r="J126" s="1" t="s">
        <v>780</v>
      </c>
      <c r="K126" s="1" t="s">
        <v>79</v>
      </c>
      <c r="L126" s="1" t="s">
        <v>43</v>
      </c>
      <c r="M126" s="1" t="s">
        <v>44</v>
      </c>
      <c r="N126" s="1" t="s">
        <v>288</v>
      </c>
      <c r="O126" s="1" t="s">
        <v>41</v>
      </c>
      <c r="P126">
        <v>24</v>
      </c>
      <c r="Q126" s="1">
        <v>0</v>
      </c>
      <c r="R126" s="1">
        <v>0</v>
      </c>
      <c r="S126" s="1">
        <v>0</v>
      </c>
      <c r="T126" s="1">
        <v>1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 t="s">
        <v>88</v>
      </c>
      <c r="AH126" s="1" t="str">
        <f t="shared" si="1"/>
        <v>Jr</v>
      </c>
      <c r="AI126" t="s">
        <v>34</v>
      </c>
      <c r="AJ126" s="4">
        <v>62</v>
      </c>
      <c r="AK126" s="1">
        <f>Table1[[#This Row],[avg_salary]]*1000</f>
        <v>62000</v>
      </c>
    </row>
    <row r="127" spans="1:37" x14ac:dyDescent="0.3">
      <c r="A127" s="1">
        <v>143</v>
      </c>
      <c r="B127" s="1" t="s">
        <v>289</v>
      </c>
      <c r="C127" s="1" t="s">
        <v>887</v>
      </c>
      <c r="D127" s="4">
        <v>29000</v>
      </c>
      <c r="E127" s="4">
        <v>50000</v>
      </c>
      <c r="F127" s="4">
        <v>39500</v>
      </c>
      <c r="G127" s="1" t="s">
        <v>1283</v>
      </c>
      <c r="H127" t="s">
        <v>1451</v>
      </c>
      <c r="I127" s="1" t="s">
        <v>1233</v>
      </c>
      <c r="J127" s="1" t="s">
        <v>36</v>
      </c>
      <c r="K127" s="1" t="s">
        <v>290</v>
      </c>
      <c r="L127" s="1" t="s">
        <v>43</v>
      </c>
      <c r="M127" s="1" t="s">
        <v>65</v>
      </c>
      <c r="N127" s="1" t="s">
        <v>291</v>
      </c>
      <c r="O127" s="1" t="s">
        <v>177</v>
      </c>
      <c r="P127">
        <v>22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71</v>
      </c>
      <c r="AH127" s="1" t="str">
        <f t="shared" si="1"/>
        <v>Jr</v>
      </c>
      <c r="AI127" t="s">
        <v>34</v>
      </c>
      <c r="AJ127" s="4">
        <v>39.5</v>
      </c>
      <c r="AK127" s="1">
        <f>Table1[[#This Row],[avg_salary]]*1000</f>
        <v>39500</v>
      </c>
    </row>
    <row r="128" spans="1:37" x14ac:dyDescent="0.3">
      <c r="A128" s="1">
        <v>145</v>
      </c>
      <c r="B128" s="1" t="s">
        <v>28</v>
      </c>
      <c r="C128" s="1" t="s">
        <v>879</v>
      </c>
      <c r="D128" s="4">
        <v>82000</v>
      </c>
      <c r="E128" s="4">
        <v>133000</v>
      </c>
      <c r="F128" s="4">
        <v>107500</v>
      </c>
      <c r="G128" s="1" t="s">
        <v>1284</v>
      </c>
      <c r="H128" t="s">
        <v>1482</v>
      </c>
      <c r="I128" s="1" t="s">
        <v>1259</v>
      </c>
      <c r="J128" s="1" t="s">
        <v>780</v>
      </c>
      <c r="K128" s="1" t="s">
        <v>170</v>
      </c>
      <c r="L128" s="1" t="s">
        <v>158</v>
      </c>
      <c r="M128" s="1" t="s">
        <v>44</v>
      </c>
      <c r="N128" s="1" t="s">
        <v>292</v>
      </c>
      <c r="O128" s="1" t="s">
        <v>67</v>
      </c>
      <c r="P128">
        <v>53</v>
      </c>
      <c r="Q128" s="1">
        <v>0</v>
      </c>
      <c r="R128" s="1">
        <v>0</v>
      </c>
      <c r="S128" s="1">
        <v>0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1</v>
      </c>
      <c r="AG128" s="1" t="s">
        <v>33</v>
      </c>
      <c r="AH128" s="1" t="str">
        <f t="shared" si="1"/>
        <v>Jr</v>
      </c>
      <c r="AI128" t="s">
        <v>34</v>
      </c>
      <c r="AJ128" s="4">
        <v>107.5</v>
      </c>
      <c r="AK128" s="1">
        <f>Table1[[#This Row],[avg_salary]]*1000</f>
        <v>107500</v>
      </c>
    </row>
    <row r="129" spans="1:37" x14ac:dyDescent="0.3">
      <c r="A129" s="1">
        <v>146</v>
      </c>
      <c r="B129" s="1" t="s">
        <v>293</v>
      </c>
      <c r="C129" s="1" t="s">
        <v>888</v>
      </c>
      <c r="D129" s="4">
        <v>26000</v>
      </c>
      <c r="E129" s="4">
        <v>55000</v>
      </c>
      <c r="F129" s="4">
        <v>40500</v>
      </c>
      <c r="G129" s="1" t="s">
        <v>1285</v>
      </c>
      <c r="H129" t="s">
        <v>1452</v>
      </c>
      <c r="I129" s="1" t="s">
        <v>1237</v>
      </c>
      <c r="J129" s="1" t="s">
        <v>780</v>
      </c>
      <c r="K129" s="1" t="s">
        <v>200</v>
      </c>
      <c r="L129" s="1" t="s">
        <v>43</v>
      </c>
      <c r="M129" s="1" t="s">
        <v>54</v>
      </c>
      <c r="N129" s="1" t="s">
        <v>294</v>
      </c>
      <c r="O129" s="1" t="s">
        <v>182</v>
      </c>
      <c r="P129">
        <v>57</v>
      </c>
      <c r="Q129" s="1">
        <v>1</v>
      </c>
      <c r="R129" s="1">
        <v>0</v>
      </c>
      <c r="S129" s="1">
        <v>1</v>
      </c>
      <c r="T129" s="1">
        <v>1</v>
      </c>
      <c r="U129" s="1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 t="s">
        <v>295</v>
      </c>
      <c r="AH129" s="1" t="str">
        <f t="shared" si="1"/>
        <v>Jr</v>
      </c>
      <c r="AI129" t="s">
        <v>34</v>
      </c>
      <c r="AJ129" s="4">
        <v>40.5</v>
      </c>
      <c r="AK129" s="1">
        <f>Table1[[#This Row],[avg_salary]]*1000</f>
        <v>40500</v>
      </c>
    </row>
    <row r="130" spans="1:37" x14ac:dyDescent="0.3">
      <c r="A130" s="1">
        <v>147</v>
      </c>
      <c r="B130" s="1" t="s">
        <v>296</v>
      </c>
      <c r="C130" s="1" t="s">
        <v>889</v>
      </c>
      <c r="D130" s="4">
        <v>61000</v>
      </c>
      <c r="E130" s="4">
        <v>118000</v>
      </c>
      <c r="F130" s="4">
        <v>89500</v>
      </c>
      <c r="G130" s="1" t="s">
        <v>1286</v>
      </c>
      <c r="H130" t="s">
        <v>1440</v>
      </c>
      <c r="I130" s="1" t="s">
        <v>1192</v>
      </c>
      <c r="J130" s="1" t="s">
        <v>781</v>
      </c>
      <c r="K130" s="1" t="s">
        <v>143</v>
      </c>
      <c r="L130" s="1" t="s">
        <v>74</v>
      </c>
      <c r="M130" s="1" t="s">
        <v>84</v>
      </c>
      <c r="N130" s="1" t="s">
        <v>164</v>
      </c>
      <c r="O130" s="1" t="s">
        <v>81</v>
      </c>
      <c r="P130">
        <v>33</v>
      </c>
      <c r="Q130" s="1">
        <v>1</v>
      </c>
      <c r="R130" s="1">
        <v>1</v>
      </c>
      <c r="S130" s="1">
        <v>0</v>
      </c>
      <c r="T130" s="1">
        <v>0</v>
      </c>
      <c r="U130" s="1">
        <v>1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 t="s">
        <v>33</v>
      </c>
      <c r="AH130" s="1" t="str">
        <f t="shared" ref="AH130:AH193" si="2">IF(VALUE(AJ130) &gt;= 114, "Sr", "Jr")</f>
        <v>Jr</v>
      </c>
      <c r="AI130" t="s">
        <v>34</v>
      </c>
      <c r="AJ130" s="4">
        <v>89.5</v>
      </c>
      <c r="AK130" s="1">
        <f>Table1[[#This Row],[avg_salary]]*1000</f>
        <v>89500</v>
      </c>
    </row>
    <row r="131" spans="1:37" x14ac:dyDescent="0.3">
      <c r="A131" s="1">
        <v>148</v>
      </c>
      <c r="B131" s="1" t="s">
        <v>28</v>
      </c>
      <c r="C131" s="1" t="s">
        <v>890</v>
      </c>
      <c r="D131" s="4">
        <v>60000</v>
      </c>
      <c r="E131" s="4">
        <v>102000</v>
      </c>
      <c r="F131" s="4">
        <v>81000</v>
      </c>
      <c r="G131" s="1" t="s">
        <v>1203</v>
      </c>
      <c r="H131" t="s">
        <v>1444</v>
      </c>
      <c r="I131" s="1" t="s">
        <v>1204</v>
      </c>
      <c r="J131" s="1" t="s">
        <v>780</v>
      </c>
      <c r="K131" s="1" t="s">
        <v>64</v>
      </c>
      <c r="L131" s="1" t="s">
        <v>43</v>
      </c>
      <c r="M131" s="1" t="s">
        <v>30</v>
      </c>
      <c r="N131" s="1" t="s">
        <v>297</v>
      </c>
      <c r="O131" s="1" t="s">
        <v>120</v>
      </c>
      <c r="P131">
        <v>54</v>
      </c>
      <c r="Q131" s="1">
        <v>1</v>
      </c>
      <c r="R131" s="1">
        <v>0</v>
      </c>
      <c r="S131" s="1">
        <v>1</v>
      </c>
      <c r="T131" s="1">
        <v>1</v>
      </c>
      <c r="U131" s="1">
        <v>1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 t="s">
        <v>33</v>
      </c>
      <c r="AH131" s="1" t="str">
        <f t="shared" si="2"/>
        <v>Jr</v>
      </c>
      <c r="AI131" t="s">
        <v>34</v>
      </c>
      <c r="AJ131" s="4">
        <v>81</v>
      </c>
      <c r="AK131" s="1">
        <f>Table1[[#This Row],[avg_salary]]*1000</f>
        <v>81000</v>
      </c>
    </row>
    <row r="132" spans="1:37" x14ac:dyDescent="0.3">
      <c r="A132" s="1">
        <v>150</v>
      </c>
      <c r="B132" s="1" t="s">
        <v>148</v>
      </c>
      <c r="C132" s="1" t="s">
        <v>891</v>
      </c>
      <c r="D132" s="4">
        <v>112000</v>
      </c>
      <c r="E132" s="4">
        <v>182000</v>
      </c>
      <c r="F132" s="4">
        <v>147000</v>
      </c>
      <c r="G132" s="1" t="s">
        <v>1207</v>
      </c>
      <c r="H132" t="s">
        <v>1440</v>
      </c>
      <c r="I132" s="1" t="s">
        <v>1192</v>
      </c>
      <c r="J132" s="1" t="s">
        <v>780</v>
      </c>
      <c r="K132" s="1" t="s">
        <v>103</v>
      </c>
      <c r="L132" s="1" t="s">
        <v>74</v>
      </c>
      <c r="M132" s="1" t="s">
        <v>44</v>
      </c>
      <c r="N132" s="1" t="s">
        <v>124</v>
      </c>
      <c r="O132" s="1" t="s">
        <v>81</v>
      </c>
      <c r="P132">
        <v>41</v>
      </c>
      <c r="Q132" s="1">
        <v>1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 t="s">
        <v>33</v>
      </c>
      <c r="AH132" s="1" t="str">
        <f t="shared" si="2"/>
        <v>Sr</v>
      </c>
      <c r="AI132" t="s">
        <v>34</v>
      </c>
      <c r="AJ132" s="4">
        <v>147</v>
      </c>
      <c r="AK132" s="1">
        <f>Table1[[#This Row],[avg_salary]]*1000</f>
        <v>147000</v>
      </c>
    </row>
    <row r="133" spans="1:37" x14ac:dyDescent="0.3">
      <c r="A133" s="1">
        <v>152</v>
      </c>
      <c r="B133" s="1" t="s">
        <v>28</v>
      </c>
      <c r="C133" s="1" t="s">
        <v>793</v>
      </c>
      <c r="D133" s="4">
        <v>64000</v>
      </c>
      <c r="E133" s="4">
        <v>106000</v>
      </c>
      <c r="F133" s="4">
        <v>85000</v>
      </c>
      <c r="G133" s="1" t="s">
        <v>1287</v>
      </c>
      <c r="H133" t="s">
        <v>1438</v>
      </c>
      <c r="I133" s="1" t="s">
        <v>1186</v>
      </c>
      <c r="J133" s="1" t="s">
        <v>780</v>
      </c>
      <c r="K133" s="1" t="s">
        <v>298</v>
      </c>
      <c r="L133" s="1" t="s">
        <v>62</v>
      </c>
      <c r="M133" s="1" t="s">
        <v>44</v>
      </c>
      <c r="N133" s="1" t="s">
        <v>299</v>
      </c>
      <c r="O133" s="1" t="s">
        <v>60</v>
      </c>
      <c r="P133">
        <v>40</v>
      </c>
      <c r="Q133" s="1">
        <v>1</v>
      </c>
      <c r="R133" s="1">
        <v>0</v>
      </c>
      <c r="S133" s="1">
        <v>0</v>
      </c>
      <c r="T133" s="1">
        <v>1</v>
      </c>
      <c r="U133" s="1">
        <v>1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1</v>
      </c>
      <c r="AD133" s="1">
        <v>0</v>
      </c>
      <c r="AE133" s="1">
        <v>0</v>
      </c>
      <c r="AF133" s="1">
        <v>0</v>
      </c>
      <c r="AG133" s="1" t="s">
        <v>33</v>
      </c>
      <c r="AH133" s="1" t="str">
        <f t="shared" si="2"/>
        <v>Jr</v>
      </c>
      <c r="AI133" t="s">
        <v>34</v>
      </c>
      <c r="AJ133" s="4">
        <v>85</v>
      </c>
      <c r="AK133" s="1">
        <f>Table1[[#This Row],[avg_salary]]*1000</f>
        <v>85000</v>
      </c>
    </row>
    <row r="134" spans="1:37" x14ac:dyDescent="0.3">
      <c r="A134" s="1">
        <v>153</v>
      </c>
      <c r="B134" s="1" t="s">
        <v>300</v>
      </c>
      <c r="C134" s="1" t="s">
        <v>892</v>
      </c>
      <c r="D134" s="4">
        <v>51000</v>
      </c>
      <c r="E134" s="4">
        <v>112000</v>
      </c>
      <c r="F134" s="4">
        <v>81500</v>
      </c>
      <c r="G134" s="1" t="s">
        <v>1288</v>
      </c>
      <c r="H134" t="s">
        <v>1439</v>
      </c>
      <c r="I134" s="1" t="s">
        <v>1189</v>
      </c>
      <c r="J134" s="1" t="s">
        <v>780</v>
      </c>
      <c r="K134" s="1" t="s">
        <v>157</v>
      </c>
      <c r="L134" s="1" t="s">
        <v>158</v>
      </c>
      <c r="M134" s="1" t="s">
        <v>58</v>
      </c>
      <c r="N134" s="1" t="s">
        <v>301</v>
      </c>
      <c r="O134" s="1" t="s">
        <v>67</v>
      </c>
      <c r="P134">
        <v>34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 t="s">
        <v>71</v>
      </c>
      <c r="AH134" s="1" t="str">
        <f t="shared" si="2"/>
        <v>Jr</v>
      </c>
      <c r="AI134" t="s">
        <v>34</v>
      </c>
      <c r="AJ134" s="4">
        <v>81.5</v>
      </c>
      <c r="AK134" s="1">
        <f>Table1[[#This Row],[avg_salary]]*1000</f>
        <v>81500</v>
      </c>
    </row>
    <row r="135" spans="1:37" x14ac:dyDescent="0.3">
      <c r="A135" s="1">
        <v>154</v>
      </c>
      <c r="B135" s="1" t="s">
        <v>302</v>
      </c>
      <c r="C135" s="1" t="s">
        <v>893</v>
      </c>
      <c r="D135" s="4">
        <v>113000</v>
      </c>
      <c r="E135" s="4">
        <v>223000</v>
      </c>
      <c r="F135" s="4">
        <v>168000</v>
      </c>
      <c r="G135" s="1" t="s">
        <v>1289</v>
      </c>
      <c r="H135" t="s">
        <v>1439</v>
      </c>
      <c r="I135" s="1" t="s">
        <v>1189</v>
      </c>
      <c r="J135" s="1" t="s">
        <v>781</v>
      </c>
      <c r="K135" s="1" t="s">
        <v>89</v>
      </c>
      <c r="L135" s="1" t="s">
        <v>89</v>
      </c>
      <c r="M135" s="1" t="s">
        <v>50</v>
      </c>
      <c r="N135" s="1" t="s">
        <v>303</v>
      </c>
      <c r="O135" s="1" t="s">
        <v>67</v>
      </c>
      <c r="P135">
        <v>29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 t="s">
        <v>71</v>
      </c>
      <c r="AH135" s="1" t="str">
        <f t="shared" si="2"/>
        <v>Sr</v>
      </c>
      <c r="AI135" t="s">
        <v>72</v>
      </c>
      <c r="AJ135" s="4">
        <v>168</v>
      </c>
      <c r="AK135" s="1">
        <f>Table1[[#This Row],[avg_salary]]*1000</f>
        <v>168000</v>
      </c>
    </row>
    <row r="136" spans="1:37" x14ac:dyDescent="0.3">
      <c r="A136" s="1">
        <v>156</v>
      </c>
      <c r="B136" s="1" t="s">
        <v>304</v>
      </c>
      <c r="C136" s="1" t="s">
        <v>894</v>
      </c>
      <c r="D136" s="4">
        <v>72000</v>
      </c>
      <c r="E136" s="4">
        <v>129000</v>
      </c>
      <c r="F136" s="4">
        <v>100500</v>
      </c>
      <c r="G136" s="1" t="s">
        <v>1290</v>
      </c>
      <c r="H136" t="s">
        <v>1443</v>
      </c>
      <c r="I136" s="1" t="s">
        <v>1202</v>
      </c>
      <c r="J136" s="1" t="s">
        <v>780</v>
      </c>
      <c r="K136" s="1" t="s">
        <v>29</v>
      </c>
      <c r="L136" s="1" t="s">
        <v>29</v>
      </c>
      <c r="M136" s="1" t="s">
        <v>54</v>
      </c>
      <c r="N136" s="1" t="s">
        <v>305</v>
      </c>
      <c r="O136" s="1" t="s">
        <v>111</v>
      </c>
      <c r="P136">
        <v>51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 t="s">
        <v>306</v>
      </c>
      <c r="AH136" s="1" t="str">
        <f t="shared" si="2"/>
        <v>Jr</v>
      </c>
      <c r="AI136" t="s">
        <v>72</v>
      </c>
      <c r="AJ136" s="4">
        <v>100.5</v>
      </c>
      <c r="AK136" s="1">
        <f>Table1[[#This Row],[avg_salary]]*1000</f>
        <v>100500</v>
      </c>
    </row>
    <row r="137" spans="1:37" x14ac:dyDescent="0.3">
      <c r="A137" s="1">
        <v>157</v>
      </c>
      <c r="B137" s="1" t="s">
        <v>307</v>
      </c>
      <c r="C137" s="1" t="s">
        <v>895</v>
      </c>
      <c r="D137" s="4">
        <v>71000</v>
      </c>
      <c r="E137" s="4">
        <v>123000</v>
      </c>
      <c r="F137" s="4">
        <v>97000</v>
      </c>
      <c r="G137" s="1" t="s">
        <v>1183</v>
      </c>
      <c r="H137" t="s">
        <v>1183</v>
      </c>
      <c r="I137" s="1" t="s">
        <v>1184</v>
      </c>
      <c r="J137" s="1" t="s">
        <v>780</v>
      </c>
      <c r="K137" s="1" t="s">
        <v>64</v>
      </c>
      <c r="L137" s="1" t="s">
        <v>43</v>
      </c>
      <c r="M137" s="1" t="s">
        <v>44</v>
      </c>
      <c r="N137" s="1" t="s">
        <v>308</v>
      </c>
      <c r="O137" s="1" t="s">
        <v>56</v>
      </c>
      <c r="P137">
        <v>48</v>
      </c>
      <c r="Q137" s="1">
        <v>1</v>
      </c>
      <c r="R137" s="1">
        <v>1</v>
      </c>
      <c r="S137" s="1">
        <v>0</v>
      </c>
      <c r="T137" s="1">
        <v>1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</v>
      </c>
      <c r="AB137" s="1">
        <v>1</v>
      </c>
      <c r="AC137" s="1">
        <v>0</v>
      </c>
      <c r="AD137" s="1">
        <v>0</v>
      </c>
      <c r="AE137" s="1">
        <v>1</v>
      </c>
      <c r="AF137" s="1">
        <v>0</v>
      </c>
      <c r="AG137" s="1" t="s">
        <v>33</v>
      </c>
      <c r="AH137" s="1" t="str">
        <f t="shared" si="2"/>
        <v>Jr</v>
      </c>
      <c r="AI137" t="s">
        <v>34</v>
      </c>
      <c r="AJ137" s="4">
        <v>97</v>
      </c>
      <c r="AK137" s="1">
        <f>Table1[[#This Row],[avg_salary]]*1000</f>
        <v>97000</v>
      </c>
    </row>
    <row r="138" spans="1:37" x14ac:dyDescent="0.3">
      <c r="A138" s="1">
        <v>158</v>
      </c>
      <c r="B138" s="1" t="s">
        <v>28</v>
      </c>
      <c r="C138" s="1" t="s">
        <v>793</v>
      </c>
      <c r="D138" s="4">
        <v>64000</v>
      </c>
      <c r="E138" s="4">
        <v>106000</v>
      </c>
      <c r="F138" s="4">
        <v>85000</v>
      </c>
      <c r="G138" s="1" t="s">
        <v>1191</v>
      </c>
      <c r="H138" t="s">
        <v>1440</v>
      </c>
      <c r="I138" s="1" t="s">
        <v>1192</v>
      </c>
      <c r="J138" s="1" t="s">
        <v>781</v>
      </c>
      <c r="K138" s="1" t="s">
        <v>79</v>
      </c>
      <c r="L138" s="1" t="s">
        <v>43</v>
      </c>
      <c r="M138" s="1" t="s">
        <v>58</v>
      </c>
      <c r="N138" s="1" t="s">
        <v>80</v>
      </c>
      <c r="O138" s="1" t="s">
        <v>81</v>
      </c>
      <c r="P138">
        <v>45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 t="s">
        <v>33</v>
      </c>
      <c r="AH138" s="1" t="str">
        <f t="shared" si="2"/>
        <v>Jr</v>
      </c>
      <c r="AI138" t="s">
        <v>34</v>
      </c>
      <c r="AJ138" s="4">
        <v>85</v>
      </c>
      <c r="AK138" s="1">
        <f>Table1[[#This Row],[avg_salary]]*1000</f>
        <v>85000</v>
      </c>
    </row>
    <row r="139" spans="1:37" x14ac:dyDescent="0.3">
      <c r="A139" s="1">
        <v>159</v>
      </c>
      <c r="B139" s="1" t="s">
        <v>102</v>
      </c>
      <c r="C139" s="1" t="s">
        <v>799</v>
      </c>
      <c r="D139" s="4">
        <v>118000</v>
      </c>
      <c r="E139" s="4">
        <v>189000</v>
      </c>
      <c r="F139" s="4">
        <v>153500</v>
      </c>
      <c r="G139" s="1" t="s">
        <v>1199</v>
      </c>
      <c r="H139" t="s">
        <v>1439</v>
      </c>
      <c r="I139" s="1" t="s">
        <v>1189</v>
      </c>
      <c r="J139" s="1" t="s">
        <v>780</v>
      </c>
      <c r="K139" s="1" t="s">
        <v>103</v>
      </c>
      <c r="L139" s="1" t="s">
        <v>74</v>
      </c>
      <c r="M139" s="1" t="s">
        <v>54</v>
      </c>
      <c r="N139" s="1" t="s">
        <v>104</v>
      </c>
      <c r="O139" s="1" t="s">
        <v>67</v>
      </c>
      <c r="P139">
        <v>29</v>
      </c>
      <c r="Q139" s="1">
        <v>1</v>
      </c>
      <c r="R139" s="1">
        <v>1</v>
      </c>
      <c r="S139" s="1">
        <v>1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 t="s">
        <v>33</v>
      </c>
      <c r="AH139" s="1" t="str">
        <f t="shared" si="2"/>
        <v>Sr</v>
      </c>
      <c r="AI139" t="s">
        <v>34</v>
      </c>
      <c r="AJ139" s="4">
        <v>153.5</v>
      </c>
      <c r="AK139" s="1">
        <f>Table1[[#This Row],[avg_salary]]*1000</f>
        <v>153500</v>
      </c>
    </row>
    <row r="140" spans="1:37" x14ac:dyDescent="0.3">
      <c r="A140" s="1">
        <v>161</v>
      </c>
      <c r="B140" s="1" t="s">
        <v>150</v>
      </c>
      <c r="C140" s="1" t="s">
        <v>1416</v>
      </c>
      <c r="D140" s="4">
        <v>120000</v>
      </c>
      <c r="E140" s="4">
        <v>145000</v>
      </c>
      <c r="F140" s="4">
        <v>132500</v>
      </c>
      <c r="G140" s="1" t="s">
        <v>1291</v>
      </c>
      <c r="H140" t="s">
        <v>1437</v>
      </c>
      <c r="I140" s="1" t="s">
        <v>1180</v>
      </c>
      <c r="J140" s="1" t="s">
        <v>780</v>
      </c>
      <c r="K140" s="1" t="s">
        <v>143</v>
      </c>
      <c r="L140" s="1" t="s">
        <v>74</v>
      </c>
      <c r="M140" s="1" t="s">
        <v>54</v>
      </c>
      <c r="N140" s="1" t="s">
        <v>309</v>
      </c>
      <c r="O140" s="1" t="s">
        <v>46</v>
      </c>
      <c r="P140">
        <v>28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 t="s">
        <v>98</v>
      </c>
      <c r="AH140" s="1" t="str">
        <f t="shared" si="2"/>
        <v>Sr</v>
      </c>
      <c r="AI140" t="s">
        <v>34</v>
      </c>
      <c r="AJ140" s="4">
        <v>132.5</v>
      </c>
      <c r="AK140" s="1">
        <f>Table1[[#This Row],[avg_salary]]*1000</f>
        <v>132500</v>
      </c>
    </row>
    <row r="141" spans="1:37" x14ac:dyDescent="0.3">
      <c r="A141" s="1">
        <v>162</v>
      </c>
      <c r="B141" s="1" t="s">
        <v>150</v>
      </c>
      <c r="C141" s="1" t="s">
        <v>896</v>
      </c>
      <c r="D141" s="4">
        <v>80000</v>
      </c>
      <c r="E141" s="4">
        <v>120000</v>
      </c>
      <c r="F141" s="4">
        <v>100000</v>
      </c>
      <c r="G141" s="1" t="s">
        <v>1203</v>
      </c>
      <c r="H141" t="s">
        <v>1444</v>
      </c>
      <c r="I141" s="1" t="s">
        <v>1204</v>
      </c>
      <c r="J141" s="1" t="s">
        <v>780</v>
      </c>
      <c r="K141" s="1" t="s">
        <v>145</v>
      </c>
      <c r="L141" s="1" t="s">
        <v>74</v>
      </c>
      <c r="M141" s="1" t="s">
        <v>121</v>
      </c>
      <c r="N141" s="1" t="s">
        <v>226</v>
      </c>
      <c r="O141" s="1" t="s">
        <v>120</v>
      </c>
      <c r="P141">
        <v>30</v>
      </c>
      <c r="Q141" s="1">
        <v>0</v>
      </c>
      <c r="R141" s="1">
        <v>1</v>
      </c>
      <c r="S141" s="1">
        <v>0</v>
      </c>
      <c r="T141" s="1">
        <v>1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 t="s">
        <v>98</v>
      </c>
      <c r="AH141" s="1" t="str">
        <f t="shared" si="2"/>
        <v>Jr</v>
      </c>
      <c r="AI141" t="s">
        <v>72</v>
      </c>
      <c r="AJ141" s="4">
        <v>100</v>
      </c>
      <c r="AK141" s="1">
        <f>Table1[[#This Row],[avg_salary]]*1000</f>
        <v>100000</v>
      </c>
    </row>
    <row r="142" spans="1:37" x14ac:dyDescent="0.3">
      <c r="A142" s="1">
        <v>164</v>
      </c>
      <c r="B142" s="1" t="s">
        <v>310</v>
      </c>
      <c r="C142" s="1" t="s">
        <v>897</v>
      </c>
      <c r="D142" s="4">
        <v>80000</v>
      </c>
      <c r="E142" s="4">
        <v>130000</v>
      </c>
      <c r="F142" s="4">
        <v>105000</v>
      </c>
      <c r="G142" s="1" t="s">
        <v>1201</v>
      </c>
      <c r="H142" t="s">
        <v>1443</v>
      </c>
      <c r="I142" s="1" t="s">
        <v>1202</v>
      </c>
      <c r="J142" s="1" t="s">
        <v>780</v>
      </c>
      <c r="K142" s="1" t="s">
        <v>311</v>
      </c>
      <c r="L142" s="1" t="s">
        <v>312</v>
      </c>
      <c r="M142" s="1" t="s">
        <v>54</v>
      </c>
      <c r="N142" s="1" t="s">
        <v>313</v>
      </c>
      <c r="O142" s="1" t="s">
        <v>111</v>
      </c>
      <c r="P142">
        <v>18</v>
      </c>
      <c r="Q142" s="1">
        <v>1</v>
      </c>
      <c r="R142" s="1">
        <v>0</v>
      </c>
      <c r="S142" s="1">
        <v>0</v>
      </c>
      <c r="T142" s="1">
        <v>0</v>
      </c>
      <c r="U142" s="1">
        <v>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 t="s">
        <v>33</v>
      </c>
      <c r="AH142" s="1" t="str">
        <f t="shared" si="2"/>
        <v>Jr</v>
      </c>
      <c r="AI142" t="s">
        <v>34</v>
      </c>
      <c r="AJ142" s="4">
        <v>105</v>
      </c>
      <c r="AK142" s="1">
        <f>Table1[[#This Row],[avg_salary]]*1000</f>
        <v>105000</v>
      </c>
    </row>
    <row r="143" spans="1:37" x14ac:dyDescent="0.3">
      <c r="A143" s="1">
        <v>166</v>
      </c>
      <c r="B143" s="1" t="s">
        <v>314</v>
      </c>
      <c r="C143" s="1" t="s">
        <v>898</v>
      </c>
      <c r="D143" s="4">
        <v>59000</v>
      </c>
      <c r="E143" s="4">
        <v>115000</v>
      </c>
      <c r="F143" s="4">
        <v>87000</v>
      </c>
      <c r="G143" s="1" t="s">
        <v>1292</v>
      </c>
      <c r="H143" t="s">
        <v>1462</v>
      </c>
      <c r="I143" s="1" t="s">
        <v>1293</v>
      </c>
      <c r="J143" s="1" t="s">
        <v>107</v>
      </c>
      <c r="K143" s="1" t="s">
        <v>315</v>
      </c>
      <c r="L143" s="1" t="s">
        <v>316</v>
      </c>
      <c r="M143" s="1" t="s">
        <v>54</v>
      </c>
      <c r="N143" s="1" t="s">
        <v>317</v>
      </c>
      <c r="O143" s="1" t="s">
        <v>318</v>
      </c>
      <c r="P143">
        <v>54</v>
      </c>
      <c r="Q143" s="1">
        <v>0</v>
      </c>
      <c r="R143" s="1">
        <v>0</v>
      </c>
      <c r="S143" s="1">
        <v>1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 t="s">
        <v>98</v>
      </c>
      <c r="AH143" s="1" t="str">
        <f t="shared" si="2"/>
        <v>Jr</v>
      </c>
      <c r="AI143" t="s">
        <v>34</v>
      </c>
      <c r="AJ143" s="4">
        <v>87</v>
      </c>
      <c r="AK143" s="1">
        <f>Table1[[#This Row],[avg_salary]]*1000</f>
        <v>87000</v>
      </c>
    </row>
    <row r="144" spans="1:37" x14ac:dyDescent="0.3">
      <c r="A144" s="1">
        <v>167</v>
      </c>
      <c r="B144" s="1" t="s">
        <v>319</v>
      </c>
      <c r="C144" s="1" t="s">
        <v>899</v>
      </c>
      <c r="D144" s="4">
        <v>71000</v>
      </c>
      <c r="E144" s="4">
        <v>136000</v>
      </c>
      <c r="F144" s="4">
        <v>103500</v>
      </c>
      <c r="G144" s="1" t="s">
        <v>1200</v>
      </c>
      <c r="H144" t="s">
        <v>1439</v>
      </c>
      <c r="I144" s="1" t="s">
        <v>1189</v>
      </c>
      <c r="J144" s="1" t="s">
        <v>780</v>
      </c>
      <c r="K144" s="1" t="s">
        <v>57</v>
      </c>
      <c r="L144" s="1" t="s">
        <v>57</v>
      </c>
      <c r="M144" s="1" t="s">
        <v>54</v>
      </c>
      <c r="N144" s="1" t="s">
        <v>320</v>
      </c>
      <c r="O144" s="1" t="s">
        <v>67</v>
      </c>
      <c r="P144">
        <v>48</v>
      </c>
      <c r="Q144" s="1">
        <v>0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 t="s">
        <v>88</v>
      </c>
      <c r="AH144" s="1" t="str">
        <f t="shared" si="2"/>
        <v>Jr</v>
      </c>
      <c r="AI144" t="s">
        <v>72</v>
      </c>
      <c r="AJ144" s="4">
        <v>103.5</v>
      </c>
      <c r="AK144" s="1">
        <f>Table1[[#This Row],[avg_salary]]*1000</f>
        <v>103500</v>
      </c>
    </row>
    <row r="145" spans="1:37" x14ac:dyDescent="0.3">
      <c r="A145" s="1">
        <v>168</v>
      </c>
      <c r="B145" s="1" t="s">
        <v>321</v>
      </c>
      <c r="C145" s="1" t="s">
        <v>900</v>
      </c>
      <c r="D145" s="4">
        <v>81000</v>
      </c>
      <c r="E145" s="4">
        <v>167000</v>
      </c>
      <c r="F145" s="4">
        <v>124000</v>
      </c>
      <c r="G145" s="1" t="s">
        <v>1252</v>
      </c>
      <c r="H145" t="s">
        <v>1453</v>
      </c>
      <c r="I145" s="1" t="s">
        <v>1241</v>
      </c>
      <c r="J145" s="1" t="s">
        <v>322</v>
      </c>
      <c r="K145" s="1" t="s">
        <v>323</v>
      </c>
      <c r="L145" s="1" t="s">
        <v>255</v>
      </c>
      <c r="M145" s="1" t="s">
        <v>54</v>
      </c>
      <c r="N145" s="1" t="s">
        <v>324</v>
      </c>
      <c r="O145" s="1" t="s">
        <v>194</v>
      </c>
      <c r="P145">
        <v>36</v>
      </c>
      <c r="Q145" s="1">
        <v>1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 t="s">
        <v>71</v>
      </c>
      <c r="AH145" s="1" t="str">
        <f t="shared" si="2"/>
        <v>Sr</v>
      </c>
      <c r="AI145" t="s">
        <v>34</v>
      </c>
      <c r="AJ145" s="4">
        <v>124</v>
      </c>
      <c r="AK145" s="1">
        <f>Table1[[#This Row],[avg_salary]]*1000</f>
        <v>124000</v>
      </c>
    </row>
    <row r="146" spans="1:37" x14ac:dyDescent="0.3">
      <c r="A146" s="1">
        <v>169</v>
      </c>
      <c r="B146" s="1" t="s">
        <v>325</v>
      </c>
      <c r="C146" s="1" t="s">
        <v>834</v>
      </c>
      <c r="D146" s="4">
        <v>49000</v>
      </c>
      <c r="E146" s="4">
        <v>85000</v>
      </c>
      <c r="F146" s="4">
        <v>67000</v>
      </c>
      <c r="G146" s="1" t="s">
        <v>1181</v>
      </c>
      <c r="H146" t="s">
        <v>1223</v>
      </c>
      <c r="I146" s="1" t="s">
        <v>1182</v>
      </c>
      <c r="J146" s="1" t="s">
        <v>47</v>
      </c>
      <c r="K146" s="1" t="s">
        <v>48</v>
      </c>
      <c r="L146" s="1" t="s">
        <v>49</v>
      </c>
      <c r="M146" s="1" t="s">
        <v>50</v>
      </c>
      <c r="N146" s="1" t="s">
        <v>51</v>
      </c>
      <c r="O146" s="1" t="s">
        <v>52</v>
      </c>
      <c r="P146">
        <v>54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 t="s">
        <v>33</v>
      </c>
      <c r="AH146" s="1" t="str">
        <f t="shared" si="2"/>
        <v>Jr</v>
      </c>
      <c r="AI146" t="s">
        <v>72</v>
      </c>
      <c r="AJ146" s="4">
        <v>67</v>
      </c>
      <c r="AK146" s="1">
        <f>Table1[[#This Row],[avg_salary]]*1000</f>
        <v>67000</v>
      </c>
    </row>
    <row r="147" spans="1:37" x14ac:dyDescent="0.3">
      <c r="A147" s="1">
        <v>170</v>
      </c>
      <c r="B147" s="1" t="s">
        <v>150</v>
      </c>
      <c r="C147" s="1" t="s">
        <v>854</v>
      </c>
      <c r="D147" s="4">
        <v>60000</v>
      </c>
      <c r="E147" s="4">
        <v>114000</v>
      </c>
      <c r="F147" s="4">
        <v>87000</v>
      </c>
      <c r="G147" s="1" t="s">
        <v>1223</v>
      </c>
      <c r="H147" t="s">
        <v>1449</v>
      </c>
      <c r="I147" s="1" t="s">
        <v>1224</v>
      </c>
      <c r="J147" s="1" t="s">
        <v>780</v>
      </c>
      <c r="K147" s="1" t="s">
        <v>143</v>
      </c>
      <c r="L147" s="1" t="s">
        <v>74</v>
      </c>
      <c r="M147" s="1" t="s">
        <v>39</v>
      </c>
      <c r="N147" s="1" t="s">
        <v>326</v>
      </c>
      <c r="O147" s="1" t="s">
        <v>162</v>
      </c>
      <c r="P147">
        <v>27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 t="s">
        <v>98</v>
      </c>
      <c r="AH147" s="1" t="str">
        <f t="shared" si="2"/>
        <v>Jr</v>
      </c>
      <c r="AI147" t="s">
        <v>34</v>
      </c>
      <c r="AJ147" s="4">
        <v>87</v>
      </c>
      <c r="AK147" s="1">
        <f>Table1[[#This Row],[avg_salary]]*1000</f>
        <v>87000</v>
      </c>
    </row>
    <row r="148" spans="1:37" x14ac:dyDescent="0.3">
      <c r="A148" s="1">
        <v>171</v>
      </c>
      <c r="B148" s="1" t="s">
        <v>327</v>
      </c>
      <c r="C148" s="1" t="s">
        <v>901</v>
      </c>
      <c r="D148" s="4">
        <v>71000</v>
      </c>
      <c r="E148" s="4">
        <v>204000</v>
      </c>
      <c r="F148" s="4">
        <v>137500</v>
      </c>
      <c r="G148" s="1" t="s">
        <v>1203</v>
      </c>
      <c r="H148" t="s">
        <v>1444</v>
      </c>
      <c r="I148" s="1" t="s">
        <v>1204</v>
      </c>
      <c r="J148" s="1" t="s">
        <v>780</v>
      </c>
      <c r="K148" s="1" t="s">
        <v>103</v>
      </c>
      <c r="L148" s="1" t="s">
        <v>74</v>
      </c>
      <c r="M148" s="1" t="s">
        <v>54</v>
      </c>
      <c r="N148" s="1" t="s">
        <v>104</v>
      </c>
      <c r="O148" s="1" t="s">
        <v>120</v>
      </c>
      <c r="P148">
        <v>35</v>
      </c>
      <c r="Q148" s="1">
        <v>1</v>
      </c>
      <c r="R148" s="1">
        <v>1</v>
      </c>
      <c r="S148" s="1">
        <v>1</v>
      </c>
      <c r="T148" s="1">
        <v>1</v>
      </c>
      <c r="U148" s="1">
        <v>0</v>
      </c>
      <c r="V148" s="1">
        <v>0</v>
      </c>
      <c r="W148" s="1">
        <v>1</v>
      </c>
      <c r="X148" s="1">
        <v>0</v>
      </c>
      <c r="Y148" s="1">
        <v>1</v>
      </c>
      <c r="Z148" s="1">
        <v>1</v>
      </c>
      <c r="AA148" s="1">
        <v>1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 t="s">
        <v>33</v>
      </c>
      <c r="AH148" s="1" t="str">
        <f t="shared" si="2"/>
        <v>Sr</v>
      </c>
      <c r="AI148" t="s">
        <v>72</v>
      </c>
      <c r="AJ148" s="4">
        <v>137.5</v>
      </c>
      <c r="AK148" s="1">
        <f>Table1[[#This Row],[avg_salary]]*1000</f>
        <v>137500</v>
      </c>
    </row>
    <row r="149" spans="1:37" x14ac:dyDescent="0.3">
      <c r="A149" s="1">
        <v>172</v>
      </c>
      <c r="B149" s="1" t="s">
        <v>163</v>
      </c>
      <c r="C149" s="1" t="s">
        <v>902</v>
      </c>
      <c r="D149" s="4">
        <v>75000</v>
      </c>
      <c r="E149" s="4">
        <v>125000</v>
      </c>
      <c r="F149" s="4">
        <v>100000</v>
      </c>
      <c r="G149" s="1" t="s">
        <v>1238</v>
      </c>
      <c r="H149" t="s">
        <v>1450</v>
      </c>
      <c r="I149" s="1" t="s">
        <v>1228</v>
      </c>
      <c r="J149" s="1" t="s">
        <v>780</v>
      </c>
      <c r="K149" s="1" t="s">
        <v>53</v>
      </c>
      <c r="L149" s="1" t="s">
        <v>43</v>
      </c>
      <c r="M149" s="1" t="s">
        <v>44</v>
      </c>
      <c r="N149" s="1" t="s">
        <v>328</v>
      </c>
      <c r="O149" s="1" t="s">
        <v>168</v>
      </c>
      <c r="P149">
        <v>27</v>
      </c>
      <c r="Q149" s="1">
        <v>1</v>
      </c>
      <c r="R149" s="1">
        <v>0</v>
      </c>
      <c r="S149" s="1">
        <v>0</v>
      </c>
      <c r="T149" s="1">
        <v>1</v>
      </c>
      <c r="U149" s="1">
        <v>1</v>
      </c>
      <c r="V149" s="1">
        <v>0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0</v>
      </c>
      <c r="AC149" s="1">
        <v>1</v>
      </c>
      <c r="AD149" s="1">
        <v>0</v>
      </c>
      <c r="AE149" s="1">
        <v>0</v>
      </c>
      <c r="AF149" s="1">
        <v>0</v>
      </c>
      <c r="AG149" s="1" t="s">
        <v>33</v>
      </c>
      <c r="AH149" s="1" t="str">
        <f t="shared" si="2"/>
        <v>Jr</v>
      </c>
      <c r="AI149" t="s">
        <v>34</v>
      </c>
      <c r="AJ149" s="4">
        <v>100</v>
      </c>
      <c r="AK149" s="1">
        <f>Table1[[#This Row],[avg_salary]]*1000</f>
        <v>100000</v>
      </c>
    </row>
    <row r="150" spans="1:37" x14ac:dyDescent="0.3">
      <c r="A150" s="1">
        <v>174</v>
      </c>
      <c r="B150" s="1" t="s">
        <v>329</v>
      </c>
      <c r="C150" s="1" t="s">
        <v>903</v>
      </c>
      <c r="D150" s="4">
        <v>77000</v>
      </c>
      <c r="E150" s="4">
        <v>136000</v>
      </c>
      <c r="F150" s="4">
        <v>106500</v>
      </c>
      <c r="G150" s="1" t="s">
        <v>1294</v>
      </c>
      <c r="H150" t="s">
        <v>1463</v>
      </c>
      <c r="I150" s="1" t="s">
        <v>1295</v>
      </c>
      <c r="J150" s="1" t="s">
        <v>107</v>
      </c>
      <c r="K150" s="1" t="s">
        <v>108</v>
      </c>
      <c r="L150" s="1" t="s">
        <v>109</v>
      </c>
      <c r="M150" s="1" t="s">
        <v>130</v>
      </c>
      <c r="N150" s="1" t="s">
        <v>330</v>
      </c>
      <c r="O150" s="1" t="s">
        <v>331</v>
      </c>
      <c r="P150">
        <v>34</v>
      </c>
      <c r="Q150" s="1">
        <v>0</v>
      </c>
      <c r="R150" s="1">
        <v>0</v>
      </c>
      <c r="S150" s="1">
        <v>0</v>
      </c>
      <c r="T150" s="1">
        <v>1</v>
      </c>
      <c r="U150" s="1">
        <v>1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1</v>
      </c>
      <c r="AF150" s="1">
        <v>0</v>
      </c>
      <c r="AG150" s="1" t="s">
        <v>98</v>
      </c>
      <c r="AH150" s="1" t="str">
        <f t="shared" si="2"/>
        <v>Jr</v>
      </c>
      <c r="AI150" t="s">
        <v>72</v>
      </c>
      <c r="AJ150" s="4">
        <v>106.5</v>
      </c>
      <c r="AK150" s="1">
        <f>Table1[[#This Row],[avg_salary]]*1000</f>
        <v>106500</v>
      </c>
    </row>
    <row r="151" spans="1:37" x14ac:dyDescent="0.3">
      <c r="A151" s="1">
        <v>175</v>
      </c>
      <c r="B151" s="1" t="s">
        <v>332</v>
      </c>
      <c r="C151" s="1" t="s">
        <v>904</v>
      </c>
      <c r="D151" s="4">
        <v>74000</v>
      </c>
      <c r="E151" s="4">
        <v>123000</v>
      </c>
      <c r="F151" s="4">
        <v>98500</v>
      </c>
      <c r="G151" s="1" t="s">
        <v>1181</v>
      </c>
      <c r="H151" t="s">
        <v>1223</v>
      </c>
      <c r="I151" s="1" t="s">
        <v>1182</v>
      </c>
      <c r="J151" s="1" t="s">
        <v>47</v>
      </c>
      <c r="K151" s="1" t="s">
        <v>48</v>
      </c>
      <c r="L151" s="1" t="s">
        <v>49</v>
      </c>
      <c r="M151" s="1" t="s">
        <v>50</v>
      </c>
      <c r="N151" s="1" t="s">
        <v>51</v>
      </c>
      <c r="O151" s="1" t="s">
        <v>52</v>
      </c>
      <c r="P151">
        <v>28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 t="s">
        <v>33</v>
      </c>
      <c r="AH151" s="1" t="str">
        <f t="shared" si="2"/>
        <v>Jr</v>
      </c>
      <c r="AI151" t="s">
        <v>72</v>
      </c>
      <c r="AJ151" s="4">
        <v>98.5</v>
      </c>
      <c r="AK151" s="1">
        <f>Table1[[#This Row],[avg_salary]]*1000</f>
        <v>98500</v>
      </c>
    </row>
    <row r="152" spans="1:37" x14ac:dyDescent="0.3">
      <c r="A152" s="1">
        <v>177</v>
      </c>
      <c r="B152" s="1" t="s">
        <v>264</v>
      </c>
      <c r="C152" s="1" t="s">
        <v>905</v>
      </c>
      <c r="D152" s="4">
        <v>44000</v>
      </c>
      <c r="E152" s="4">
        <v>78000</v>
      </c>
      <c r="F152" s="4">
        <v>61000</v>
      </c>
      <c r="G152" s="1" t="s">
        <v>1179</v>
      </c>
      <c r="H152" t="s">
        <v>1437</v>
      </c>
      <c r="I152" s="1" t="s">
        <v>1180</v>
      </c>
      <c r="J152" s="1" t="s">
        <v>780</v>
      </c>
      <c r="K152" s="1" t="s">
        <v>42</v>
      </c>
      <c r="L152" s="1" t="s">
        <v>43</v>
      </c>
      <c r="M152" s="1" t="s">
        <v>44</v>
      </c>
      <c r="N152" s="1" t="s">
        <v>45</v>
      </c>
      <c r="O152" s="1" t="s">
        <v>46</v>
      </c>
      <c r="P152">
        <v>50</v>
      </c>
      <c r="Q152" s="1">
        <v>1</v>
      </c>
      <c r="R152" s="1">
        <v>0</v>
      </c>
      <c r="S152" s="1">
        <v>0</v>
      </c>
      <c r="T152" s="1">
        <v>1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 t="s">
        <v>88</v>
      </c>
      <c r="AH152" s="1" t="str">
        <f t="shared" si="2"/>
        <v>Jr</v>
      </c>
      <c r="AI152" t="s">
        <v>34</v>
      </c>
      <c r="AJ152" s="4">
        <v>61</v>
      </c>
      <c r="AK152" s="1">
        <f>Table1[[#This Row],[avg_salary]]*1000</f>
        <v>61000</v>
      </c>
    </row>
    <row r="153" spans="1:37" x14ac:dyDescent="0.3">
      <c r="A153" s="1">
        <v>178</v>
      </c>
      <c r="B153" s="1" t="s">
        <v>333</v>
      </c>
      <c r="C153" s="1" t="s">
        <v>906</v>
      </c>
      <c r="D153" s="4">
        <v>65000</v>
      </c>
      <c r="E153" s="4">
        <v>148000</v>
      </c>
      <c r="F153" s="4">
        <v>106500</v>
      </c>
      <c r="G153" s="1" t="s">
        <v>1247</v>
      </c>
      <c r="H153" t="s">
        <v>1455</v>
      </c>
      <c r="I153" s="1" t="s">
        <v>1248</v>
      </c>
      <c r="J153" s="1" t="s">
        <v>780</v>
      </c>
      <c r="K153" s="1" t="s">
        <v>64</v>
      </c>
      <c r="L153" s="1" t="s">
        <v>43</v>
      </c>
      <c r="M153" s="1" t="s">
        <v>54</v>
      </c>
      <c r="N153" s="1" t="s">
        <v>334</v>
      </c>
      <c r="O153" s="1" t="s">
        <v>207</v>
      </c>
      <c r="P153">
        <v>55</v>
      </c>
      <c r="Q153" s="1">
        <v>1</v>
      </c>
      <c r="R153" s="1">
        <v>1</v>
      </c>
      <c r="S153" s="1">
        <v>1</v>
      </c>
      <c r="T153" s="1">
        <v>0</v>
      </c>
      <c r="U153" s="1">
        <v>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1</v>
      </c>
      <c r="AF153" s="1">
        <v>0</v>
      </c>
      <c r="AG153" s="1" t="s">
        <v>33</v>
      </c>
      <c r="AH153" s="1" t="str">
        <f t="shared" si="2"/>
        <v>Jr</v>
      </c>
      <c r="AI153" t="s">
        <v>72</v>
      </c>
      <c r="AJ153" s="4">
        <v>106.5</v>
      </c>
      <c r="AK153" s="1">
        <f>Table1[[#This Row],[avg_salary]]*1000</f>
        <v>106500</v>
      </c>
    </row>
    <row r="154" spans="1:37" x14ac:dyDescent="0.3">
      <c r="A154" s="1">
        <v>179</v>
      </c>
      <c r="B154" s="1" t="s">
        <v>150</v>
      </c>
      <c r="C154" s="1" t="s">
        <v>907</v>
      </c>
      <c r="D154" s="4">
        <v>59000</v>
      </c>
      <c r="E154" s="4">
        <v>110000</v>
      </c>
      <c r="F154" s="4">
        <v>84500</v>
      </c>
      <c r="G154" s="1" t="s">
        <v>1195</v>
      </c>
      <c r="H154" t="s">
        <v>1441</v>
      </c>
      <c r="I154" s="1" t="s">
        <v>1196</v>
      </c>
      <c r="J154" s="1" t="s">
        <v>780</v>
      </c>
      <c r="K154" s="1" t="s">
        <v>73</v>
      </c>
      <c r="L154" s="1" t="s">
        <v>74</v>
      </c>
      <c r="M154" s="1" t="s">
        <v>54</v>
      </c>
      <c r="N154" s="1" t="s">
        <v>335</v>
      </c>
      <c r="O154" s="1" t="s">
        <v>91</v>
      </c>
      <c r="P154">
        <v>33</v>
      </c>
      <c r="Q154" s="1">
        <v>1</v>
      </c>
      <c r="R154" s="1">
        <v>1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 t="s">
        <v>98</v>
      </c>
      <c r="AH154" s="1" t="str">
        <f t="shared" si="2"/>
        <v>Jr</v>
      </c>
      <c r="AI154" t="s">
        <v>34</v>
      </c>
      <c r="AJ154" s="4">
        <v>84.5</v>
      </c>
      <c r="AK154" s="1">
        <f>Table1[[#This Row],[avg_salary]]*1000</f>
        <v>84500</v>
      </c>
    </row>
    <row r="155" spans="1:37" x14ac:dyDescent="0.3">
      <c r="A155" s="1">
        <v>180</v>
      </c>
      <c r="B155" s="1" t="s">
        <v>336</v>
      </c>
      <c r="C155" s="1" t="s">
        <v>908</v>
      </c>
      <c r="D155" s="4">
        <v>85000</v>
      </c>
      <c r="E155" s="4">
        <v>134000</v>
      </c>
      <c r="F155" s="4">
        <v>109500</v>
      </c>
      <c r="G155" s="1" t="s">
        <v>1296</v>
      </c>
      <c r="H155" t="s">
        <v>1442</v>
      </c>
      <c r="I155" s="1" t="s">
        <v>1198</v>
      </c>
      <c r="J155" s="1" t="s">
        <v>781</v>
      </c>
      <c r="K155" s="1" t="s">
        <v>157</v>
      </c>
      <c r="L155" s="1" t="s">
        <v>158</v>
      </c>
      <c r="M155" s="1" t="s">
        <v>39</v>
      </c>
      <c r="N155" s="1" t="s">
        <v>337</v>
      </c>
      <c r="O155" s="1" t="s">
        <v>97</v>
      </c>
      <c r="P155">
        <v>18</v>
      </c>
      <c r="Q155" s="1">
        <v>1</v>
      </c>
      <c r="R155" s="1">
        <v>0</v>
      </c>
      <c r="S155" s="1">
        <v>0</v>
      </c>
      <c r="T155" s="1">
        <v>1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1</v>
      </c>
      <c r="AD155" s="1">
        <v>0</v>
      </c>
      <c r="AE155" s="1">
        <v>0</v>
      </c>
      <c r="AF155" s="1">
        <v>0</v>
      </c>
      <c r="AG155" s="1" t="s">
        <v>295</v>
      </c>
      <c r="AH155" s="1" t="str">
        <f t="shared" si="2"/>
        <v>Jr</v>
      </c>
      <c r="AI155" t="s">
        <v>34</v>
      </c>
      <c r="AJ155" s="4">
        <v>109.5</v>
      </c>
      <c r="AK155" s="1">
        <f>Table1[[#This Row],[avg_salary]]*1000</f>
        <v>109500</v>
      </c>
    </row>
    <row r="156" spans="1:37" x14ac:dyDescent="0.3">
      <c r="A156" s="1">
        <v>181</v>
      </c>
      <c r="B156" s="1" t="s">
        <v>163</v>
      </c>
      <c r="C156" s="1" t="s">
        <v>909</v>
      </c>
      <c r="D156" s="4">
        <v>124000</v>
      </c>
      <c r="E156" s="4">
        <v>204000</v>
      </c>
      <c r="F156" s="4">
        <v>164000</v>
      </c>
      <c r="G156" s="1" t="s">
        <v>1231</v>
      </c>
      <c r="H156" t="s">
        <v>1441</v>
      </c>
      <c r="I156" s="1" t="s">
        <v>1196</v>
      </c>
      <c r="J156" s="1" t="s">
        <v>780</v>
      </c>
      <c r="K156" s="1" t="s">
        <v>108</v>
      </c>
      <c r="L156" s="1" t="s">
        <v>109</v>
      </c>
      <c r="M156" s="1" t="s">
        <v>84</v>
      </c>
      <c r="N156" s="1" t="s">
        <v>338</v>
      </c>
      <c r="O156" s="1" t="s">
        <v>91</v>
      </c>
      <c r="P156">
        <v>40</v>
      </c>
      <c r="Q156" s="1">
        <v>1</v>
      </c>
      <c r="R156" s="1">
        <v>1</v>
      </c>
      <c r="S156" s="1">
        <v>1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 t="s">
        <v>33</v>
      </c>
      <c r="AH156" s="1" t="str">
        <f t="shared" si="2"/>
        <v>Sr</v>
      </c>
      <c r="AI156" t="s">
        <v>72</v>
      </c>
      <c r="AJ156" s="4">
        <v>164</v>
      </c>
      <c r="AK156" s="1">
        <f>Table1[[#This Row],[avg_salary]]*1000</f>
        <v>164000</v>
      </c>
    </row>
    <row r="157" spans="1:37" x14ac:dyDescent="0.3">
      <c r="A157" s="1">
        <v>182</v>
      </c>
      <c r="B157" s="1" t="s">
        <v>339</v>
      </c>
      <c r="C157" s="1" t="s">
        <v>910</v>
      </c>
      <c r="D157" s="4">
        <v>131000</v>
      </c>
      <c r="E157" s="4">
        <v>207000</v>
      </c>
      <c r="F157" s="4">
        <v>169000</v>
      </c>
      <c r="G157" s="1" t="s">
        <v>1297</v>
      </c>
      <c r="H157" t="s">
        <v>1439</v>
      </c>
      <c r="I157" s="1" t="s">
        <v>1189</v>
      </c>
      <c r="J157" s="1" t="s">
        <v>93</v>
      </c>
      <c r="K157" s="1" t="s">
        <v>89</v>
      </c>
      <c r="L157" s="1" t="s">
        <v>89</v>
      </c>
      <c r="M157" s="1" t="s">
        <v>84</v>
      </c>
      <c r="N157" s="1" t="s">
        <v>340</v>
      </c>
      <c r="O157" s="1" t="s">
        <v>67</v>
      </c>
      <c r="P157">
        <v>51</v>
      </c>
      <c r="Q157" s="1">
        <v>1</v>
      </c>
      <c r="R157" s="1">
        <v>1</v>
      </c>
      <c r="S157" s="1">
        <v>0</v>
      </c>
      <c r="T157" s="1">
        <v>1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 t="s">
        <v>33</v>
      </c>
      <c r="AH157" s="1" t="str">
        <f t="shared" si="2"/>
        <v>Sr</v>
      </c>
      <c r="AI157" t="s">
        <v>72</v>
      </c>
      <c r="AJ157" s="4">
        <v>169</v>
      </c>
      <c r="AK157" s="1">
        <f>Table1[[#This Row],[avg_salary]]*1000</f>
        <v>169000</v>
      </c>
    </row>
    <row r="158" spans="1:37" x14ac:dyDescent="0.3">
      <c r="A158" s="1">
        <v>183</v>
      </c>
      <c r="B158" s="1" t="s">
        <v>148</v>
      </c>
      <c r="C158" s="1" t="s">
        <v>911</v>
      </c>
      <c r="D158" s="4">
        <v>110000</v>
      </c>
      <c r="E158" s="4">
        <v>174000</v>
      </c>
      <c r="F158" s="4">
        <v>142000</v>
      </c>
      <c r="G158" s="1" t="s">
        <v>1298</v>
      </c>
      <c r="H158" t="s">
        <v>1439</v>
      </c>
      <c r="I158" s="1" t="s">
        <v>1189</v>
      </c>
      <c r="J158" s="1" t="s">
        <v>781</v>
      </c>
      <c r="K158" s="1" t="s">
        <v>138</v>
      </c>
      <c r="L158" s="1" t="s">
        <v>139</v>
      </c>
      <c r="M158" s="1" t="s">
        <v>39</v>
      </c>
      <c r="N158" s="1" t="s">
        <v>140</v>
      </c>
      <c r="O158" s="1" t="s">
        <v>67</v>
      </c>
      <c r="P158">
        <v>47</v>
      </c>
      <c r="Q158" s="1">
        <v>1</v>
      </c>
      <c r="R158" s="1">
        <v>1</v>
      </c>
      <c r="S158" s="1">
        <v>1</v>
      </c>
      <c r="T158" s="1">
        <v>1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1</v>
      </c>
      <c r="AA158" s="1">
        <v>0</v>
      </c>
      <c r="AB158" s="1">
        <v>0</v>
      </c>
      <c r="AC158" s="1">
        <v>0</v>
      </c>
      <c r="AD158" s="1">
        <v>1</v>
      </c>
      <c r="AE158" s="1">
        <v>0</v>
      </c>
      <c r="AF158" s="1">
        <v>0</v>
      </c>
      <c r="AG158" s="1" t="s">
        <v>33</v>
      </c>
      <c r="AH158" s="1" t="str">
        <f t="shared" si="2"/>
        <v>Sr</v>
      </c>
      <c r="AI158" t="s">
        <v>72</v>
      </c>
      <c r="AJ158" s="4">
        <v>142</v>
      </c>
      <c r="AK158" s="1">
        <f>Table1[[#This Row],[avg_salary]]*1000</f>
        <v>142000</v>
      </c>
    </row>
    <row r="159" spans="1:37" x14ac:dyDescent="0.3">
      <c r="A159" s="1">
        <v>185</v>
      </c>
      <c r="B159" s="1" t="s">
        <v>341</v>
      </c>
      <c r="C159" s="1" t="s">
        <v>912</v>
      </c>
      <c r="D159" s="4">
        <v>52000</v>
      </c>
      <c r="E159" s="4">
        <v>101000</v>
      </c>
      <c r="F159" s="4">
        <v>76500</v>
      </c>
      <c r="G159" s="1" t="s">
        <v>1231</v>
      </c>
      <c r="H159" t="s">
        <v>1441</v>
      </c>
      <c r="I159" s="1" t="s">
        <v>1196</v>
      </c>
      <c r="J159" s="1" t="s">
        <v>781</v>
      </c>
      <c r="K159" s="1" t="s">
        <v>89</v>
      </c>
      <c r="L159" s="1" t="s">
        <v>89</v>
      </c>
      <c r="M159" s="1" t="s">
        <v>84</v>
      </c>
      <c r="N159" s="1" t="s">
        <v>90</v>
      </c>
      <c r="O159" s="1" t="s">
        <v>91</v>
      </c>
      <c r="P159">
        <v>33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 t="s">
        <v>71</v>
      </c>
      <c r="AH159" s="1" t="str">
        <f t="shared" si="2"/>
        <v>Jr</v>
      </c>
      <c r="AI159" t="s">
        <v>72</v>
      </c>
      <c r="AJ159" s="4">
        <v>76.5</v>
      </c>
      <c r="AK159" s="1">
        <f>Table1[[#This Row],[avg_salary]]*1000</f>
        <v>76500</v>
      </c>
    </row>
    <row r="160" spans="1:37" x14ac:dyDescent="0.3">
      <c r="A160" s="1">
        <v>187</v>
      </c>
      <c r="B160" s="1" t="s">
        <v>342</v>
      </c>
      <c r="C160" s="1" t="s">
        <v>913</v>
      </c>
      <c r="D160" s="4">
        <v>81000</v>
      </c>
      <c r="E160" s="4">
        <v>133000</v>
      </c>
      <c r="F160" s="4">
        <v>107000</v>
      </c>
      <c r="G160" s="1" t="s">
        <v>1299</v>
      </c>
      <c r="H160" t="s">
        <v>1436</v>
      </c>
      <c r="I160" s="1" t="s">
        <v>1178</v>
      </c>
      <c r="J160" s="1" t="s">
        <v>780</v>
      </c>
      <c r="K160" s="1" t="s">
        <v>108</v>
      </c>
      <c r="L160" s="1" t="s">
        <v>109</v>
      </c>
      <c r="M160" s="1" t="s">
        <v>50</v>
      </c>
      <c r="N160" s="1" t="s">
        <v>343</v>
      </c>
      <c r="O160" s="1" t="s">
        <v>41</v>
      </c>
      <c r="P160">
        <v>43</v>
      </c>
      <c r="Q160" s="1">
        <v>1</v>
      </c>
      <c r="R160" s="1">
        <v>0</v>
      </c>
      <c r="S160" s="1">
        <v>0</v>
      </c>
      <c r="T160" s="1">
        <v>1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 t="s">
        <v>33</v>
      </c>
      <c r="AH160" s="1" t="str">
        <f t="shared" si="2"/>
        <v>Jr</v>
      </c>
      <c r="AI160" t="s">
        <v>34</v>
      </c>
      <c r="AJ160" s="4">
        <v>107</v>
      </c>
      <c r="AK160" s="1">
        <f>Table1[[#This Row],[avg_salary]]*1000</f>
        <v>107000</v>
      </c>
    </row>
    <row r="161" spans="1:37" x14ac:dyDescent="0.3">
      <c r="A161" s="1">
        <v>188</v>
      </c>
      <c r="B161" s="1" t="s">
        <v>344</v>
      </c>
      <c r="C161" s="1" t="s">
        <v>914</v>
      </c>
      <c r="D161" s="4">
        <v>132000</v>
      </c>
      <c r="E161" s="4">
        <v>211000</v>
      </c>
      <c r="F161" s="4">
        <v>171500</v>
      </c>
      <c r="G161" s="1" t="s">
        <v>1188</v>
      </c>
      <c r="H161" t="s">
        <v>1439</v>
      </c>
      <c r="I161" s="1" t="s">
        <v>1189</v>
      </c>
      <c r="J161" s="1" t="s">
        <v>781</v>
      </c>
      <c r="K161" s="1" t="s">
        <v>145</v>
      </c>
      <c r="L161" s="1" t="s">
        <v>74</v>
      </c>
      <c r="M161" s="1" t="s">
        <v>84</v>
      </c>
      <c r="N161" s="1" t="s">
        <v>345</v>
      </c>
      <c r="O161" s="1" t="s">
        <v>67</v>
      </c>
      <c r="P161">
        <v>26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 t="s">
        <v>33</v>
      </c>
      <c r="AH161" s="1" t="str">
        <f t="shared" si="2"/>
        <v>Sr</v>
      </c>
      <c r="AI161" t="s">
        <v>34</v>
      </c>
      <c r="AJ161" s="4">
        <v>171.5</v>
      </c>
      <c r="AK161" s="1">
        <f>Table1[[#This Row],[avg_salary]]*1000</f>
        <v>171500</v>
      </c>
    </row>
    <row r="162" spans="1:37" x14ac:dyDescent="0.3">
      <c r="A162" s="1">
        <v>190</v>
      </c>
      <c r="B162" s="1" t="s">
        <v>113</v>
      </c>
      <c r="C162" s="1" t="s">
        <v>803</v>
      </c>
      <c r="D162" s="4">
        <v>73000</v>
      </c>
      <c r="E162" s="4">
        <v>119000</v>
      </c>
      <c r="F162" s="4">
        <v>96000</v>
      </c>
      <c r="G162" s="1" t="s">
        <v>1185</v>
      </c>
      <c r="H162" t="s">
        <v>1438</v>
      </c>
      <c r="I162" s="1" t="s">
        <v>1186</v>
      </c>
      <c r="J162" s="1" t="s">
        <v>780</v>
      </c>
      <c r="K162" s="1" t="s">
        <v>114</v>
      </c>
      <c r="L162" s="1" t="s">
        <v>109</v>
      </c>
      <c r="M162" s="1" t="s">
        <v>54</v>
      </c>
      <c r="N162" s="1" t="s">
        <v>115</v>
      </c>
      <c r="O162" s="1" t="s">
        <v>60</v>
      </c>
      <c r="P162">
        <v>40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 t="s">
        <v>33</v>
      </c>
      <c r="AH162" s="1" t="str">
        <f t="shared" si="2"/>
        <v>Jr</v>
      </c>
      <c r="AI162" t="s">
        <v>72</v>
      </c>
      <c r="AJ162" s="4">
        <v>96</v>
      </c>
      <c r="AK162" s="1">
        <f>Table1[[#This Row],[avg_salary]]*1000</f>
        <v>96000</v>
      </c>
    </row>
    <row r="163" spans="1:37" x14ac:dyDescent="0.3">
      <c r="A163" s="1">
        <v>191</v>
      </c>
      <c r="B163" s="1" t="s">
        <v>105</v>
      </c>
      <c r="C163" s="1" t="s">
        <v>800</v>
      </c>
      <c r="D163" s="4">
        <v>110000</v>
      </c>
      <c r="E163" s="4">
        <v>175000</v>
      </c>
      <c r="F163" s="4">
        <v>142500</v>
      </c>
      <c r="G163" s="1" t="s">
        <v>1200</v>
      </c>
      <c r="H163" t="s">
        <v>1439</v>
      </c>
      <c r="I163" s="1" t="s">
        <v>1189</v>
      </c>
      <c r="J163" s="1" t="s">
        <v>780</v>
      </c>
      <c r="K163" s="1" t="s">
        <v>103</v>
      </c>
      <c r="L163" s="1" t="s">
        <v>74</v>
      </c>
      <c r="M163" s="1" t="s">
        <v>54</v>
      </c>
      <c r="N163" s="1" t="s">
        <v>106</v>
      </c>
      <c r="O163" s="1" t="s">
        <v>67</v>
      </c>
      <c r="P163">
        <v>58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 t="s">
        <v>33</v>
      </c>
      <c r="AH163" s="1" t="str">
        <f t="shared" si="2"/>
        <v>Sr</v>
      </c>
      <c r="AI163" t="s">
        <v>34</v>
      </c>
      <c r="AJ163" s="4">
        <v>142.5</v>
      </c>
      <c r="AK163" s="1">
        <f>Table1[[#This Row],[avg_salary]]*1000</f>
        <v>142500</v>
      </c>
    </row>
    <row r="164" spans="1:37" x14ac:dyDescent="0.3">
      <c r="A164" s="1">
        <v>192</v>
      </c>
      <c r="B164" s="1" t="s">
        <v>346</v>
      </c>
      <c r="C164" s="1" t="s">
        <v>915</v>
      </c>
      <c r="D164" s="4">
        <v>74000</v>
      </c>
      <c r="E164" s="4">
        <v>140000</v>
      </c>
      <c r="F164" s="4">
        <v>107000</v>
      </c>
      <c r="G164" s="1" t="s">
        <v>1292</v>
      </c>
      <c r="H164" t="s">
        <v>1462</v>
      </c>
      <c r="I164" s="1" t="s">
        <v>1293</v>
      </c>
      <c r="J164" s="1" t="s">
        <v>107</v>
      </c>
      <c r="K164" s="1" t="s">
        <v>315</v>
      </c>
      <c r="L164" s="1" t="s">
        <v>316</v>
      </c>
      <c r="M164" s="1" t="s">
        <v>54</v>
      </c>
      <c r="N164" s="1" t="s">
        <v>317</v>
      </c>
      <c r="O164" s="1" t="s">
        <v>318</v>
      </c>
      <c r="P164">
        <v>21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 t="s">
        <v>98</v>
      </c>
      <c r="AH164" s="1" t="str">
        <f t="shared" si="2"/>
        <v>Jr</v>
      </c>
      <c r="AI164" t="s">
        <v>34</v>
      </c>
      <c r="AJ164" s="4">
        <v>107</v>
      </c>
      <c r="AK164" s="1">
        <f>Table1[[#This Row],[avg_salary]]*1000</f>
        <v>107000</v>
      </c>
    </row>
    <row r="165" spans="1:37" x14ac:dyDescent="0.3">
      <c r="A165" s="1">
        <v>193</v>
      </c>
      <c r="B165" s="1" t="s">
        <v>347</v>
      </c>
      <c r="C165" s="1" t="s">
        <v>916</v>
      </c>
      <c r="D165" s="4">
        <v>100000</v>
      </c>
      <c r="E165" s="4">
        <v>190000</v>
      </c>
      <c r="F165" s="4">
        <v>145000</v>
      </c>
      <c r="G165" s="1" t="s">
        <v>1221</v>
      </c>
      <c r="H165" t="s">
        <v>1441</v>
      </c>
      <c r="I165" s="1" t="s">
        <v>1196</v>
      </c>
      <c r="J165" s="1" t="s">
        <v>780</v>
      </c>
      <c r="K165" s="1" t="s">
        <v>89</v>
      </c>
      <c r="L165" s="1" t="s">
        <v>89</v>
      </c>
      <c r="M165" s="1" t="s">
        <v>58</v>
      </c>
      <c r="N165" s="1" t="s">
        <v>348</v>
      </c>
      <c r="O165" s="1" t="s">
        <v>91</v>
      </c>
      <c r="P165">
        <v>41</v>
      </c>
      <c r="Q165" s="1">
        <v>1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 t="s">
        <v>71</v>
      </c>
      <c r="AH165" s="1" t="str">
        <f t="shared" si="2"/>
        <v>Sr</v>
      </c>
      <c r="AI165" t="s">
        <v>72</v>
      </c>
      <c r="AJ165" s="4">
        <v>145</v>
      </c>
      <c r="AK165" s="1">
        <f>Table1[[#This Row],[avg_salary]]*1000</f>
        <v>145000</v>
      </c>
    </row>
    <row r="166" spans="1:37" x14ac:dyDescent="0.3">
      <c r="A166" s="1">
        <v>194</v>
      </c>
      <c r="B166" s="1" t="s">
        <v>264</v>
      </c>
      <c r="C166" s="1" t="s">
        <v>917</v>
      </c>
      <c r="D166" s="4">
        <v>43000</v>
      </c>
      <c r="E166" s="4">
        <v>80000</v>
      </c>
      <c r="F166" s="4">
        <v>61500</v>
      </c>
      <c r="G166" s="1" t="s">
        <v>1207</v>
      </c>
      <c r="H166" t="s">
        <v>1440</v>
      </c>
      <c r="I166" s="1" t="s">
        <v>1192</v>
      </c>
      <c r="J166" s="1" t="s">
        <v>107</v>
      </c>
      <c r="K166" s="1" t="s">
        <v>323</v>
      </c>
      <c r="L166" s="1" t="s">
        <v>255</v>
      </c>
      <c r="M166" s="1" t="s">
        <v>65</v>
      </c>
      <c r="N166" s="1" t="s">
        <v>349</v>
      </c>
      <c r="O166" s="1" t="s">
        <v>81</v>
      </c>
      <c r="P166">
        <v>36</v>
      </c>
      <c r="Q166" s="1">
        <v>1</v>
      </c>
      <c r="R166" s="1">
        <v>0</v>
      </c>
      <c r="S166" s="1">
        <v>0</v>
      </c>
      <c r="T166" s="1">
        <v>1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1</v>
      </c>
      <c r="AD166" s="1">
        <v>0</v>
      </c>
      <c r="AE166" s="1">
        <v>0</v>
      </c>
      <c r="AF166" s="1">
        <v>0</v>
      </c>
      <c r="AG166" s="1" t="s">
        <v>88</v>
      </c>
      <c r="AH166" s="1" t="str">
        <f t="shared" si="2"/>
        <v>Jr</v>
      </c>
      <c r="AI166" t="s">
        <v>34</v>
      </c>
      <c r="AJ166" s="4">
        <v>61.5</v>
      </c>
      <c r="AK166" s="1">
        <f>Table1[[#This Row],[avg_salary]]*1000</f>
        <v>61500</v>
      </c>
    </row>
    <row r="167" spans="1:37" x14ac:dyDescent="0.3">
      <c r="A167" s="1">
        <v>197</v>
      </c>
      <c r="B167" s="1" t="s">
        <v>350</v>
      </c>
      <c r="C167" s="1" t="s">
        <v>1417</v>
      </c>
      <c r="D167" s="4">
        <v>35000</v>
      </c>
      <c r="E167" s="4">
        <v>49000</v>
      </c>
      <c r="F167" s="4">
        <v>42000</v>
      </c>
      <c r="G167" s="1" t="s">
        <v>1300</v>
      </c>
      <c r="H167" t="s">
        <v>1453</v>
      </c>
      <c r="I167" s="1" t="s">
        <v>1241</v>
      </c>
      <c r="J167" s="1" t="s">
        <v>107</v>
      </c>
      <c r="K167" s="1" t="s">
        <v>37</v>
      </c>
      <c r="L167" s="1" t="s">
        <v>38</v>
      </c>
      <c r="M167" s="1" t="s">
        <v>54</v>
      </c>
      <c r="N167" s="1" t="s">
        <v>351</v>
      </c>
      <c r="O167" s="1" t="s">
        <v>194</v>
      </c>
      <c r="P167">
        <v>45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 t="s">
        <v>71</v>
      </c>
      <c r="AH167" s="1" t="str">
        <f t="shared" si="2"/>
        <v>Jr</v>
      </c>
      <c r="AI167" t="s">
        <v>34</v>
      </c>
      <c r="AJ167" s="4">
        <v>42</v>
      </c>
      <c r="AK167" s="1">
        <f>Table1[[#This Row],[avg_salary]]*1000</f>
        <v>42000</v>
      </c>
    </row>
    <row r="168" spans="1:37" x14ac:dyDescent="0.3">
      <c r="A168" s="1">
        <v>198</v>
      </c>
      <c r="B168" s="1" t="s">
        <v>352</v>
      </c>
      <c r="C168" s="1" t="s">
        <v>918</v>
      </c>
      <c r="D168" s="4">
        <v>91000</v>
      </c>
      <c r="E168" s="4">
        <v>149000</v>
      </c>
      <c r="F168" s="4">
        <v>120000</v>
      </c>
      <c r="G168" s="1" t="s">
        <v>1301</v>
      </c>
      <c r="H168" t="s">
        <v>1457</v>
      </c>
      <c r="I168" s="1" t="s">
        <v>1266</v>
      </c>
      <c r="J168" s="1" t="s">
        <v>47</v>
      </c>
      <c r="K168" s="1" t="s">
        <v>353</v>
      </c>
      <c r="L168" s="1" t="s">
        <v>62</v>
      </c>
      <c r="M168" s="1" t="s">
        <v>30</v>
      </c>
      <c r="N168" s="1" t="s">
        <v>354</v>
      </c>
      <c r="O168" s="1" t="s">
        <v>249</v>
      </c>
      <c r="P168">
        <v>46</v>
      </c>
      <c r="Q168" s="1">
        <v>1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1</v>
      </c>
      <c r="AC168" s="1">
        <v>1</v>
      </c>
      <c r="AD168" s="1">
        <v>0</v>
      </c>
      <c r="AE168" s="1">
        <v>0</v>
      </c>
      <c r="AF168" s="1">
        <v>0</v>
      </c>
      <c r="AG168" s="1" t="s">
        <v>33</v>
      </c>
      <c r="AH168" s="1" t="str">
        <f t="shared" si="2"/>
        <v>Sr</v>
      </c>
      <c r="AI168" t="s">
        <v>34</v>
      </c>
      <c r="AJ168" s="4">
        <v>120</v>
      </c>
      <c r="AK168" s="1">
        <f>Table1[[#This Row],[avg_salary]]*1000</f>
        <v>120000</v>
      </c>
    </row>
    <row r="169" spans="1:37" x14ac:dyDescent="0.3">
      <c r="A169" s="1">
        <v>199</v>
      </c>
      <c r="B169" s="1" t="s">
        <v>355</v>
      </c>
      <c r="C169" s="1" t="s">
        <v>919</v>
      </c>
      <c r="D169" s="4">
        <v>42000</v>
      </c>
      <c r="E169" s="4">
        <v>82000</v>
      </c>
      <c r="F169" s="4">
        <v>62000</v>
      </c>
      <c r="G169" s="1" t="s">
        <v>1195</v>
      </c>
      <c r="H169" t="s">
        <v>1441</v>
      </c>
      <c r="I169" s="1" t="s">
        <v>1196</v>
      </c>
      <c r="J169" s="1" t="s">
        <v>781</v>
      </c>
      <c r="K169" s="1" t="s">
        <v>89</v>
      </c>
      <c r="L169" s="1" t="s">
        <v>89</v>
      </c>
      <c r="M169" s="1" t="s">
        <v>44</v>
      </c>
      <c r="N169" s="1" t="s">
        <v>356</v>
      </c>
      <c r="O169" s="1" t="s">
        <v>91</v>
      </c>
      <c r="P169">
        <v>44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 t="s">
        <v>71</v>
      </c>
      <c r="AH169" s="1" t="str">
        <f t="shared" si="2"/>
        <v>Jr</v>
      </c>
      <c r="AI169" t="s">
        <v>72</v>
      </c>
      <c r="AJ169" s="4">
        <v>62</v>
      </c>
      <c r="AK169" s="1">
        <f>Table1[[#This Row],[avg_salary]]*1000</f>
        <v>62000</v>
      </c>
    </row>
    <row r="170" spans="1:37" x14ac:dyDescent="0.3">
      <c r="A170" s="1">
        <v>200</v>
      </c>
      <c r="B170" s="1" t="s">
        <v>148</v>
      </c>
      <c r="C170" s="1" t="s">
        <v>920</v>
      </c>
      <c r="D170" s="4">
        <v>116000</v>
      </c>
      <c r="E170" s="4">
        <v>185000</v>
      </c>
      <c r="F170" s="4">
        <v>150500</v>
      </c>
      <c r="G170" s="1" t="s">
        <v>1200</v>
      </c>
      <c r="H170" t="s">
        <v>1439</v>
      </c>
      <c r="I170" s="1" t="s">
        <v>1189</v>
      </c>
      <c r="J170" s="1" t="s">
        <v>781</v>
      </c>
      <c r="K170" s="1" t="s">
        <v>145</v>
      </c>
      <c r="L170" s="1" t="s">
        <v>74</v>
      </c>
      <c r="M170" s="1" t="s">
        <v>39</v>
      </c>
      <c r="N170" s="1" t="s">
        <v>272</v>
      </c>
      <c r="O170" s="1" t="s">
        <v>67</v>
      </c>
      <c r="P170">
        <v>26</v>
      </c>
      <c r="Q170" s="1">
        <v>1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1</v>
      </c>
      <c r="Z170" s="1">
        <v>1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 t="s">
        <v>33</v>
      </c>
      <c r="AH170" s="1" t="str">
        <f t="shared" si="2"/>
        <v>Sr</v>
      </c>
      <c r="AI170" t="s">
        <v>72</v>
      </c>
      <c r="AJ170" s="4">
        <v>150.5</v>
      </c>
      <c r="AK170" s="1">
        <f>Table1[[#This Row],[avg_salary]]*1000</f>
        <v>150500</v>
      </c>
    </row>
    <row r="171" spans="1:37" x14ac:dyDescent="0.3">
      <c r="A171" s="1">
        <v>201</v>
      </c>
      <c r="B171" s="1" t="s">
        <v>357</v>
      </c>
      <c r="C171" s="1" t="s">
        <v>921</v>
      </c>
      <c r="D171" s="4">
        <v>59000</v>
      </c>
      <c r="E171" s="4">
        <v>116000</v>
      </c>
      <c r="F171" s="4">
        <v>87500</v>
      </c>
      <c r="G171" s="1" t="s">
        <v>1302</v>
      </c>
      <c r="H171" t="s">
        <v>1448</v>
      </c>
      <c r="I171" s="1" t="s">
        <v>1214</v>
      </c>
      <c r="J171" s="1" t="s">
        <v>780</v>
      </c>
      <c r="K171" s="1" t="s">
        <v>53</v>
      </c>
      <c r="L171" s="1" t="s">
        <v>43</v>
      </c>
      <c r="M171" s="1" t="s">
        <v>54</v>
      </c>
      <c r="N171" s="1" t="s">
        <v>358</v>
      </c>
      <c r="O171" s="1" t="s">
        <v>135</v>
      </c>
      <c r="P171">
        <v>51</v>
      </c>
      <c r="Q171" s="1">
        <v>0</v>
      </c>
      <c r="R171" s="1">
        <v>0</v>
      </c>
      <c r="S171" s="1">
        <v>0</v>
      </c>
      <c r="T171" s="1">
        <v>1</v>
      </c>
      <c r="U171" s="1">
        <v>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 t="s">
        <v>295</v>
      </c>
      <c r="AH171" s="1" t="str">
        <f t="shared" si="2"/>
        <v>Jr</v>
      </c>
      <c r="AI171" t="s">
        <v>72</v>
      </c>
      <c r="AJ171" s="4">
        <v>87.5</v>
      </c>
      <c r="AK171" s="1">
        <f>Table1[[#This Row],[avg_salary]]*1000</f>
        <v>87500</v>
      </c>
    </row>
    <row r="172" spans="1:37" x14ac:dyDescent="0.3">
      <c r="A172" s="1">
        <v>202</v>
      </c>
      <c r="B172" s="1" t="s">
        <v>150</v>
      </c>
      <c r="C172" s="1" t="s">
        <v>922</v>
      </c>
      <c r="D172" s="4">
        <v>48000</v>
      </c>
      <c r="E172" s="4">
        <v>95000</v>
      </c>
      <c r="F172" s="4">
        <v>71500</v>
      </c>
      <c r="G172" s="1" t="s">
        <v>1303</v>
      </c>
      <c r="H172" t="s">
        <v>1437</v>
      </c>
      <c r="I172" s="1" t="s">
        <v>1180</v>
      </c>
      <c r="J172" s="1" t="s">
        <v>781</v>
      </c>
      <c r="K172" s="1" t="s">
        <v>53</v>
      </c>
      <c r="L172" s="1" t="s">
        <v>43</v>
      </c>
      <c r="M172" s="1" t="s">
        <v>65</v>
      </c>
      <c r="N172" s="1" t="s">
        <v>359</v>
      </c>
      <c r="O172" s="1" t="s">
        <v>46</v>
      </c>
      <c r="P172">
        <v>46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 t="s">
        <v>98</v>
      </c>
      <c r="AH172" s="1" t="str">
        <f t="shared" si="2"/>
        <v>Jr</v>
      </c>
      <c r="AI172" t="s">
        <v>34</v>
      </c>
      <c r="AJ172" s="4">
        <v>71.5</v>
      </c>
      <c r="AK172" s="1">
        <f>Table1[[#This Row],[avg_salary]]*1000</f>
        <v>71500</v>
      </c>
    </row>
    <row r="173" spans="1:37" x14ac:dyDescent="0.3">
      <c r="A173" s="1">
        <v>203</v>
      </c>
      <c r="B173" s="1" t="s">
        <v>360</v>
      </c>
      <c r="C173" s="1" t="s">
        <v>923</v>
      </c>
      <c r="D173" s="4">
        <v>31000</v>
      </c>
      <c r="E173" s="4">
        <v>72000</v>
      </c>
      <c r="F173" s="4">
        <v>51500</v>
      </c>
      <c r="G173" s="1" t="s">
        <v>1304</v>
      </c>
      <c r="H173" t="s">
        <v>1439</v>
      </c>
      <c r="I173" s="1" t="s">
        <v>1189</v>
      </c>
      <c r="J173" s="1" t="s">
        <v>93</v>
      </c>
      <c r="K173" s="1" t="s">
        <v>83</v>
      </c>
      <c r="L173" s="1" t="s">
        <v>77</v>
      </c>
      <c r="M173" s="1" t="s">
        <v>44</v>
      </c>
      <c r="N173" s="1" t="s">
        <v>361</v>
      </c>
      <c r="O173" s="1" t="s">
        <v>67</v>
      </c>
      <c r="P173">
        <v>26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 t="s">
        <v>88</v>
      </c>
      <c r="AH173" s="1" t="str">
        <f t="shared" si="2"/>
        <v>Jr</v>
      </c>
      <c r="AI173" t="s">
        <v>34</v>
      </c>
      <c r="AJ173" s="4">
        <v>51.5</v>
      </c>
      <c r="AK173" s="1">
        <f>Table1[[#This Row],[avg_salary]]*1000</f>
        <v>51500</v>
      </c>
    </row>
    <row r="174" spans="1:37" x14ac:dyDescent="0.3">
      <c r="A174" s="1">
        <v>204</v>
      </c>
      <c r="B174" s="1" t="s">
        <v>362</v>
      </c>
      <c r="C174" s="1" t="s">
        <v>924</v>
      </c>
      <c r="D174" s="4">
        <v>105000</v>
      </c>
      <c r="E174" s="4">
        <v>198000</v>
      </c>
      <c r="F174" s="4">
        <v>151500</v>
      </c>
      <c r="G174" s="1" t="s">
        <v>1235</v>
      </c>
      <c r="H174" t="s">
        <v>1439</v>
      </c>
      <c r="I174" s="1" t="s">
        <v>1189</v>
      </c>
      <c r="J174" s="1" t="s">
        <v>781</v>
      </c>
      <c r="K174" s="1" t="s">
        <v>89</v>
      </c>
      <c r="L174" s="1" t="s">
        <v>89</v>
      </c>
      <c r="M174" s="1" t="s">
        <v>84</v>
      </c>
      <c r="N174" s="1" t="s">
        <v>90</v>
      </c>
      <c r="O174" s="1" t="s">
        <v>67</v>
      </c>
      <c r="P174">
        <v>19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 t="s">
        <v>71</v>
      </c>
      <c r="AH174" s="1" t="str">
        <f t="shared" si="2"/>
        <v>Sr</v>
      </c>
      <c r="AI174" t="s">
        <v>34</v>
      </c>
      <c r="AJ174" s="4">
        <v>151.5</v>
      </c>
      <c r="AK174" s="1">
        <f>Table1[[#This Row],[avg_salary]]*1000</f>
        <v>151500</v>
      </c>
    </row>
    <row r="175" spans="1:37" x14ac:dyDescent="0.3">
      <c r="A175" s="1">
        <v>205</v>
      </c>
      <c r="B175" s="1" t="s">
        <v>264</v>
      </c>
      <c r="C175" s="1" t="s">
        <v>853</v>
      </c>
      <c r="D175" s="4">
        <v>55000</v>
      </c>
      <c r="E175" s="4">
        <v>100000</v>
      </c>
      <c r="F175" s="4">
        <v>77500</v>
      </c>
      <c r="G175" s="1" t="s">
        <v>1305</v>
      </c>
      <c r="H175" t="s">
        <v>1442</v>
      </c>
      <c r="I175" s="1" t="s">
        <v>1198</v>
      </c>
      <c r="J175" s="1" t="s">
        <v>780</v>
      </c>
      <c r="K175" s="1" t="s">
        <v>143</v>
      </c>
      <c r="L175" s="1" t="s">
        <v>74</v>
      </c>
      <c r="M175" s="1" t="s">
        <v>54</v>
      </c>
      <c r="N175" s="1" t="s">
        <v>363</v>
      </c>
      <c r="O175" s="1" t="s">
        <v>97</v>
      </c>
      <c r="P175">
        <v>44</v>
      </c>
      <c r="Q175" s="1">
        <v>1</v>
      </c>
      <c r="R175" s="1">
        <v>0</v>
      </c>
      <c r="S175" s="1">
        <v>0</v>
      </c>
      <c r="T175" s="1">
        <v>1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 t="s">
        <v>88</v>
      </c>
      <c r="AH175" s="1" t="str">
        <f t="shared" si="2"/>
        <v>Jr</v>
      </c>
      <c r="AI175" t="s">
        <v>34</v>
      </c>
      <c r="AJ175" s="4">
        <v>77.5</v>
      </c>
      <c r="AK175" s="1">
        <f>Table1[[#This Row],[avg_salary]]*1000</f>
        <v>77500</v>
      </c>
    </row>
    <row r="176" spans="1:37" x14ac:dyDescent="0.3">
      <c r="A176" s="1">
        <v>206</v>
      </c>
      <c r="B176" s="1" t="s">
        <v>364</v>
      </c>
      <c r="C176" s="1" t="s">
        <v>925</v>
      </c>
      <c r="D176" s="4">
        <v>98000</v>
      </c>
      <c r="E176" s="4">
        <v>182000</v>
      </c>
      <c r="F176" s="4">
        <v>140000</v>
      </c>
      <c r="G176" s="1" t="s">
        <v>1231</v>
      </c>
      <c r="H176" t="s">
        <v>1441</v>
      </c>
      <c r="I176" s="1" t="s">
        <v>1196</v>
      </c>
      <c r="J176" s="1" t="s">
        <v>781</v>
      </c>
      <c r="K176" s="1" t="s">
        <v>89</v>
      </c>
      <c r="L176" s="1" t="s">
        <v>89</v>
      </c>
      <c r="M176" s="1" t="s">
        <v>84</v>
      </c>
      <c r="N176" s="1" t="s">
        <v>90</v>
      </c>
      <c r="O176" s="1" t="s">
        <v>91</v>
      </c>
      <c r="P176">
        <v>51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 t="s">
        <v>71</v>
      </c>
      <c r="AH176" s="1" t="str">
        <f t="shared" si="2"/>
        <v>Sr</v>
      </c>
      <c r="AI176" t="s">
        <v>34</v>
      </c>
      <c r="AJ176" s="4">
        <v>140</v>
      </c>
      <c r="AK176" s="1">
        <f>Table1[[#This Row],[avg_salary]]*1000</f>
        <v>140000</v>
      </c>
    </row>
    <row r="177" spans="1:37" x14ac:dyDescent="0.3">
      <c r="A177" s="1">
        <v>207</v>
      </c>
      <c r="B177" s="1" t="s">
        <v>148</v>
      </c>
      <c r="C177" s="1" t="s">
        <v>926</v>
      </c>
      <c r="D177" s="4">
        <v>73000</v>
      </c>
      <c r="E177" s="4">
        <v>124000</v>
      </c>
      <c r="F177" s="4">
        <v>98500</v>
      </c>
      <c r="G177" s="1" t="s">
        <v>1306</v>
      </c>
      <c r="H177" t="s">
        <v>1442</v>
      </c>
      <c r="I177" s="1" t="s">
        <v>1198</v>
      </c>
      <c r="J177" s="1" t="s">
        <v>780</v>
      </c>
      <c r="K177" s="1" t="s">
        <v>108</v>
      </c>
      <c r="L177" s="1" t="s">
        <v>109</v>
      </c>
      <c r="M177" s="1" t="s">
        <v>121</v>
      </c>
      <c r="N177" s="1" t="s">
        <v>365</v>
      </c>
      <c r="O177" s="1" t="s">
        <v>97</v>
      </c>
      <c r="P177">
        <v>28</v>
      </c>
      <c r="Q177" s="1">
        <v>0</v>
      </c>
      <c r="R177" s="1">
        <v>0</v>
      </c>
      <c r="S177" s="1">
        <v>0</v>
      </c>
      <c r="T177" s="1">
        <v>1</v>
      </c>
      <c r="U177" s="1">
        <v>1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 t="s">
        <v>33</v>
      </c>
      <c r="AH177" s="1" t="str">
        <f t="shared" si="2"/>
        <v>Jr</v>
      </c>
      <c r="AI177" t="s">
        <v>34</v>
      </c>
      <c r="AJ177" s="4">
        <v>98.5</v>
      </c>
      <c r="AK177" s="1">
        <f>Table1[[#This Row],[avg_salary]]*1000</f>
        <v>98500</v>
      </c>
    </row>
    <row r="178" spans="1:37" x14ac:dyDescent="0.3">
      <c r="A178" s="1">
        <v>208</v>
      </c>
      <c r="B178" s="1" t="s">
        <v>366</v>
      </c>
      <c r="C178" s="1" t="s">
        <v>1418</v>
      </c>
      <c r="D178" s="4">
        <v>200000</v>
      </c>
      <c r="E178" s="4">
        <v>250000</v>
      </c>
      <c r="F178" s="4">
        <v>225000</v>
      </c>
      <c r="G178" s="1" t="s">
        <v>1200</v>
      </c>
      <c r="H178" t="s">
        <v>1439</v>
      </c>
      <c r="I178" s="1" t="s">
        <v>1189</v>
      </c>
      <c r="J178" s="1" t="s">
        <v>780</v>
      </c>
      <c r="K178" s="1" t="s">
        <v>143</v>
      </c>
      <c r="L178" s="1" t="s">
        <v>74</v>
      </c>
      <c r="M178" s="1" t="s">
        <v>201</v>
      </c>
      <c r="N178" s="1" t="s">
        <v>367</v>
      </c>
      <c r="O178" s="1" t="s">
        <v>67</v>
      </c>
      <c r="P178">
        <v>26</v>
      </c>
      <c r="Q178" s="1">
        <v>1</v>
      </c>
      <c r="R178" s="1">
        <v>0</v>
      </c>
      <c r="S178" s="1">
        <v>1</v>
      </c>
      <c r="T178" s="1">
        <v>1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 t="s">
        <v>33</v>
      </c>
      <c r="AH178" s="1" t="str">
        <f t="shared" si="2"/>
        <v>Sr</v>
      </c>
      <c r="AI178" t="s">
        <v>34</v>
      </c>
      <c r="AJ178" s="4">
        <v>225</v>
      </c>
      <c r="AK178" s="1">
        <f>Table1[[#This Row],[avg_salary]]*1000</f>
        <v>225000</v>
      </c>
    </row>
    <row r="179" spans="1:37" x14ac:dyDescent="0.3">
      <c r="A179" s="1">
        <v>209</v>
      </c>
      <c r="B179" s="1" t="s">
        <v>368</v>
      </c>
      <c r="C179" s="1" t="s">
        <v>1425</v>
      </c>
      <c r="D179" s="4">
        <v>43000</v>
      </c>
      <c r="E179" s="4">
        <v>70000</v>
      </c>
      <c r="F179" s="4">
        <v>56500</v>
      </c>
      <c r="G179" s="1" t="s">
        <v>1307</v>
      </c>
      <c r="H179" t="s">
        <v>1464</v>
      </c>
      <c r="I179" s="1" t="s">
        <v>1308</v>
      </c>
      <c r="J179" s="1" t="s">
        <v>107</v>
      </c>
      <c r="K179" s="1" t="s">
        <v>37</v>
      </c>
      <c r="L179" s="1" t="s">
        <v>38</v>
      </c>
      <c r="M179" s="1" t="s">
        <v>44</v>
      </c>
      <c r="N179" s="1" t="s">
        <v>369</v>
      </c>
      <c r="O179" s="1" t="s">
        <v>370</v>
      </c>
      <c r="P179">
        <v>59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 t="s">
        <v>71</v>
      </c>
      <c r="AH179" s="1" t="str">
        <f t="shared" si="2"/>
        <v>Jr</v>
      </c>
      <c r="AI179" t="s">
        <v>34</v>
      </c>
      <c r="AJ179" s="4">
        <v>56.5</v>
      </c>
      <c r="AK179" s="1">
        <f>Table1[[#This Row],[avg_salary]]*1000</f>
        <v>56500</v>
      </c>
    </row>
    <row r="180" spans="1:37" x14ac:dyDescent="0.3">
      <c r="A180" s="1">
        <v>210</v>
      </c>
      <c r="B180" s="1" t="s">
        <v>371</v>
      </c>
      <c r="C180" s="1" t="s">
        <v>927</v>
      </c>
      <c r="D180" s="4">
        <v>117000</v>
      </c>
      <c r="E180" s="4">
        <v>206000</v>
      </c>
      <c r="F180" s="4">
        <v>161500</v>
      </c>
      <c r="G180" s="1" t="s">
        <v>1231</v>
      </c>
      <c r="H180" t="s">
        <v>1441</v>
      </c>
      <c r="I180" s="1" t="s">
        <v>1196</v>
      </c>
      <c r="J180" s="1" t="s">
        <v>781</v>
      </c>
      <c r="K180" s="1" t="s">
        <v>89</v>
      </c>
      <c r="L180" s="1" t="s">
        <v>89</v>
      </c>
      <c r="M180" s="1" t="s">
        <v>84</v>
      </c>
      <c r="N180" s="1" t="s">
        <v>90</v>
      </c>
      <c r="O180" s="1" t="s">
        <v>91</v>
      </c>
      <c r="P180">
        <v>24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 t="s">
        <v>71</v>
      </c>
      <c r="AH180" s="1" t="str">
        <f t="shared" si="2"/>
        <v>Sr</v>
      </c>
      <c r="AI180" t="s">
        <v>34</v>
      </c>
      <c r="AJ180" s="4">
        <v>161.5</v>
      </c>
      <c r="AK180" s="1">
        <f>Table1[[#This Row],[avg_salary]]*1000</f>
        <v>161500</v>
      </c>
    </row>
    <row r="181" spans="1:37" x14ac:dyDescent="0.3">
      <c r="A181" s="1">
        <v>211</v>
      </c>
      <c r="B181" s="1" t="s">
        <v>372</v>
      </c>
      <c r="C181" s="1" t="s">
        <v>928</v>
      </c>
      <c r="D181" s="4">
        <v>111000</v>
      </c>
      <c r="E181" s="4">
        <v>183000</v>
      </c>
      <c r="F181" s="4">
        <v>147000</v>
      </c>
      <c r="G181" s="1" t="s">
        <v>1183</v>
      </c>
      <c r="H181" t="s">
        <v>1183</v>
      </c>
      <c r="I181" s="1" t="s">
        <v>1184</v>
      </c>
      <c r="J181" s="1" t="s">
        <v>781</v>
      </c>
      <c r="K181" s="1" t="s">
        <v>108</v>
      </c>
      <c r="L181" s="1" t="s">
        <v>109</v>
      </c>
      <c r="M181" s="1" t="s">
        <v>58</v>
      </c>
      <c r="N181" s="1" t="s">
        <v>373</v>
      </c>
      <c r="O181" s="1" t="s">
        <v>56</v>
      </c>
      <c r="P181">
        <v>32</v>
      </c>
      <c r="Q181" s="1">
        <v>1</v>
      </c>
      <c r="R181" s="1">
        <v>1</v>
      </c>
      <c r="S181" s="1">
        <v>1</v>
      </c>
      <c r="T181" s="1">
        <v>0</v>
      </c>
      <c r="U181" s="1">
        <v>1</v>
      </c>
      <c r="V181" s="1">
        <v>0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 t="s">
        <v>33</v>
      </c>
      <c r="AH181" s="1" t="str">
        <f t="shared" si="2"/>
        <v>Sr</v>
      </c>
      <c r="AI181" t="s">
        <v>34</v>
      </c>
      <c r="AJ181" s="4">
        <v>147</v>
      </c>
      <c r="AK181" s="1">
        <f>Table1[[#This Row],[avg_salary]]*1000</f>
        <v>147000</v>
      </c>
    </row>
    <row r="182" spans="1:37" x14ac:dyDescent="0.3">
      <c r="A182" s="1">
        <v>212</v>
      </c>
      <c r="B182" s="1" t="s">
        <v>374</v>
      </c>
      <c r="C182" s="1" t="s">
        <v>905</v>
      </c>
      <c r="D182" s="4">
        <v>44000</v>
      </c>
      <c r="E182" s="4">
        <v>78000</v>
      </c>
      <c r="F182" s="4">
        <v>61000</v>
      </c>
      <c r="G182" s="1" t="s">
        <v>1309</v>
      </c>
      <c r="H182" t="s">
        <v>1452</v>
      </c>
      <c r="I182" s="1" t="s">
        <v>1237</v>
      </c>
      <c r="J182" s="1" t="s">
        <v>780</v>
      </c>
      <c r="K182" s="1" t="s">
        <v>48</v>
      </c>
      <c r="L182" s="1" t="s">
        <v>49</v>
      </c>
      <c r="M182" s="1" t="s">
        <v>58</v>
      </c>
      <c r="N182" s="1" t="s">
        <v>375</v>
      </c>
      <c r="O182" s="1" t="s">
        <v>182</v>
      </c>
      <c r="P182">
        <v>22</v>
      </c>
      <c r="Q182" s="1">
        <v>0</v>
      </c>
      <c r="R182" s="1">
        <v>0</v>
      </c>
      <c r="S182" s="1">
        <v>0</v>
      </c>
      <c r="T182" s="1">
        <v>1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 t="s">
        <v>88</v>
      </c>
      <c r="AH182" s="1" t="str">
        <f t="shared" si="2"/>
        <v>Jr</v>
      </c>
      <c r="AI182" t="s">
        <v>34</v>
      </c>
      <c r="AJ182" s="4">
        <v>61</v>
      </c>
      <c r="AK182" s="1">
        <f>Table1[[#This Row],[avg_salary]]*1000</f>
        <v>61000</v>
      </c>
    </row>
    <row r="183" spans="1:37" x14ac:dyDescent="0.3">
      <c r="A183" s="1">
        <v>213</v>
      </c>
      <c r="B183" s="1" t="s">
        <v>376</v>
      </c>
      <c r="C183" s="1" t="s">
        <v>929</v>
      </c>
      <c r="D183" s="4">
        <v>81000</v>
      </c>
      <c r="E183" s="4">
        <v>159000</v>
      </c>
      <c r="F183" s="4">
        <v>120000</v>
      </c>
      <c r="G183" s="1" t="s">
        <v>1252</v>
      </c>
      <c r="H183" t="s">
        <v>1453</v>
      </c>
      <c r="I183" s="1" t="s">
        <v>1241</v>
      </c>
      <c r="J183" s="1" t="s">
        <v>322</v>
      </c>
      <c r="K183" s="1" t="s">
        <v>323</v>
      </c>
      <c r="L183" s="1" t="s">
        <v>255</v>
      </c>
      <c r="M183" s="1" t="s">
        <v>54</v>
      </c>
      <c r="N183" s="1" t="s">
        <v>324</v>
      </c>
      <c r="O183" s="1" t="s">
        <v>194</v>
      </c>
      <c r="P183">
        <v>41</v>
      </c>
      <c r="Q183" s="1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 t="s">
        <v>306</v>
      </c>
      <c r="AH183" s="1" t="str">
        <f t="shared" si="2"/>
        <v>Sr</v>
      </c>
      <c r="AI183" t="s">
        <v>72</v>
      </c>
      <c r="AJ183" s="4">
        <v>120</v>
      </c>
      <c r="AK183" s="1">
        <f>Table1[[#This Row],[avg_salary]]*1000</f>
        <v>120000</v>
      </c>
    </row>
    <row r="184" spans="1:37" x14ac:dyDescent="0.3">
      <c r="A184" s="1">
        <v>215</v>
      </c>
      <c r="B184" s="1" t="s">
        <v>377</v>
      </c>
      <c r="C184" s="1" t="s">
        <v>930</v>
      </c>
      <c r="D184" s="4">
        <v>83000</v>
      </c>
      <c r="E184" s="4">
        <v>166000</v>
      </c>
      <c r="F184" s="4">
        <v>124500</v>
      </c>
      <c r="G184" s="1" t="s">
        <v>1274</v>
      </c>
      <c r="H184" t="s">
        <v>1459</v>
      </c>
      <c r="I184" s="1" t="s">
        <v>1275</v>
      </c>
      <c r="J184" s="1" t="s">
        <v>781</v>
      </c>
      <c r="K184" s="1" t="s">
        <v>378</v>
      </c>
      <c r="L184" s="1" t="s">
        <v>62</v>
      </c>
      <c r="M184" s="1" t="s">
        <v>50</v>
      </c>
      <c r="N184" s="1" t="s">
        <v>379</v>
      </c>
      <c r="O184" s="1" t="s">
        <v>266</v>
      </c>
      <c r="P184">
        <v>47</v>
      </c>
      <c r="Q184" s="1">
        <v>1</v>
      </c>
      <c r="R184" s="1">
        <v>0</v>
      </c>
      <c r="S184" s="1">
        <v>0</v>
      </c>
      <c r="T184" s="1">
        <v>1</v>
      </c>
      <c r="U184" s="1">
        <v>1</v>
      </c>
      <c r="V184" s="1">
        <v>0</v>
      </c>
      <c r="W184" s="1">
        <v>1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 t="s">
        <v>33</v>
      </c>
      <c r="AH184" s="1" t="str">
        <f t="shared" si="2"/>
        <v>Sr</v>
      </c>
      <c r="AI184" t="s">
        <v>34</v>
      </c>
      <c r="AJ184" s="4">
        <v>124.5</v>
      </c>
      <c r="AK184" s="1">
        <f>Table1[[#This Row],[avg_salary]]*1000</f>
        <v>124500</v>
      </c>
    </row>
    <row r="185" spans="1:37" x14ac:dyDescent="0.3">
      <c r="A185" s="1">
        <v>216</v>
      </c>
      <c r="B185" s="1" t="s">
        <v>148</v>
      </c>
      <c r="C185" s="1" t="s">
        <v>931</v>
      </c>
      <c r="D185" s="4">
        <v>114000</v>
      </c>
      <c r="E185" s="4">
        <v>182000</v>
      </c>
      <c r="F185" s="4">
        <v>148000</v>
      </c>
      <c r="G185" s="1" t="s">
        <v>1310</v>
      </c>
      <c r="H185" t="s">
        <v>1439</v>
      </c>
      <c r="I185" s="1" t="s">
        <v>1189</v>
      </c>
      <c r="J185" s="1" t="s">
        <v>780</v>
      </c>
      <c r="K185" s="1" t="s">
        <v>238</v>
      </c>
      <c r="L185" s="1" t="s">
        <v>62</v>
      </c>
      <c r="M185" s="1" t="s">
        <v>30</v>
      </c>
      <c r="N185" s="1" t="s">
        <v>380</v>
      </c>
      <c r="O185" s="1" t="s">
        <v>67</v>
      </c>
      <c r="P185">
        <v>34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 t="s">
        <v>33</v>
      </c>
      <c r="AH185" s="1" t="str">
        <f t="shared" si="2"/>
        <v>Sr</v>
      </c>
      <c r="AI185" t="s">
        <v>34</v>
      </c>
      <c r="AJ185" s="4">
        <v>148</v>
      </c>
      <c r="AK185" s="1">
        <f>Table1[[#This Row],[avg_salary]]*1000</f>
        <v>148000</v>
      </c>
    </row>
    <row r="186" spans="1:37" x14ac:dyDescent="0.3">
      <c r="A186" s="1">
        <v>217</v>
      </c>
      <c r="B186" s="1" t="s">
        <v>381</v>
      </c>
      <c r="C186" s="1" t="s">
        <v>932</v>
      </c>
      <c r="D186" s="4">
        <v>42000</v>
      </c>
      <c r="E186" s="4">
        <v>76000</v>
      </c>
      <c r="F186" s="4">
        <v>59000</v>
      </c>
      <c r="G186" s="1" t="s">
        <v>1232</v>
      </c>
      <c r="H186" t="s">
        <v>1451</v>
      </c>
      <c r="I186" s="1" t="s">
        <v>1233</v>
      </c>
      <c r="J186" s="1" t="s">
        <v>780</v>
      </c>
      <c r="K186" s="1" t="s">
        <v>29</v>
      </c>
      <c r="L186" s="1" t="s">
        <v>29</v>
      </c>
      <c r="M186" s="1" t="s">
        <v>65</v>
      </c>
      <c r="N186" s="1" t="s">
        <v>382</v>
      </c>
      <c r="O186" s="1" t="s">
        <v>177</v>
      </c>
      <c r="P186">
        <v>29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 t="s">
        <v>88</v>
      </c>
      <c r="AH186" s="1" t="str">
        <f t="shared" si="2"/>
        <v>Jr</v>
      </c>
      <c r="AI186" t="s">
        <v>34</v>
      </c>
      <c r="AJ186" s="4">
        <v>59</v>
      </c>
      <c r="AK186" s="1">
        <f>Table1[[#This Row],[avg_salary]]*1000</f>
        <v>59000</v>
      </c>
    </row>
    <row r="187" spans="1:37" x14ac:dyDescent="0.3">
      <c r="A187" s="1">
        <v>221</v>
      </c>
      <c r="B187" s="1" t="s">
        <v>383</v>
      </c>
      <c r="C187" s="1" t="s">
        <v>933</v>
      </c>
      <c r="D187" s="4">
        <v>114000</v>
      </c>
      <c r="E187" s="4">
        <v>179000</v>
      </c>
      <c r="F187" s="4">
        <v>146500</v>
      </c>
      <c r="G187" s="1" t="s">
        <v>1210</v>
      </c>
      <c r="H187" t="s">
        <v>1441</v>
      </c>
      <c r="I187" s="1" t="s">
        <v>1196</v>
      </c>
      <c r="J187" s="1" t="s">
        <v>781</v>
      </c>
      <c r="K187" s="1" t="s">
        <v>108</v>
      </c>
      <c r="L187" s="1" t="s">
        <v>109</v>
      </c>
      <c r="M187" s="1" t="s">
        <v>130</v>
      </c>
      <c r="N187" s="1" t="s">
        <v>131</v>
      </c>
      <c r="O187" s="1" t="s">
        <v>91</v>
      </c>
      <c r="P187">
        <v>33</v>
      </c>
      <c r="Q187" s="1">
        <v>1</v>
      </c>
      <c r="R187" s="1">
        <v>0</v>
      </c>
      <c r="S187" s="1">
        <v>0</v>
      </c>
      <c r="T187" s="1">
        <v>1</v>
      </c>
      <c r="U187" s="1">
        <v>1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 t="s">
        <v>33</v>
      </c>
      <c r="AH187" s="1" t="str">
        <f t="shared" si="2"/>
        <v>Sr</v>
      </c>
      <c r="AI187" t="s">
        <v>34</v>
      </c>
      <c r="AJ187" s="4">
        <v>146.5</v>
      </c>
      <c r="AK187" s="1">
        <f>Table1[[#This Row],[avg_salary]]*1000</f>
        <v>146500</v>
      </c>
    </row>
    <row r="188" spans="1:37" x14ac:dyDescent="0.3">
      <c r="A188" s="1">
        <v>223</v>
      </c>
      <c r="B188" s="1" t="s">
        <v>384</v>
      </c>
      <c r="C188" s="1" t="s">
        <v>934</v>
      </c>
      <c r="D188" s="4">
        <v>60000</v>
      </c>
      <c r="E188" s="4">
        <v>123000</v>
      </c>
      <c r="F188" s="4">
        <v>91500</v>
      </c>
      <c r="G188" s="1" t="s">
        <v>1311</v>
      </c>
      <c r="H188" t="s">
        <v>1441</v>
      </c>
      <c r="I188" s="1" t="s">
        <v>1196</v>
      </c>
      <c r="J188" s="1" t="s">
        <v>781</v>
      </c>
      <c r="K188" s="1" t="s">
        <v>89</v>
      </c>
      <c r="L188" s="1" t="s">
        <v>89</v>
      </c>
      <c r="M188" s="1" t="s">
        <v>54</v>
      </c>
      <c r="N188" s="1" t="s">
        <v>385</v>
      </c>
      <c r="O188" s="1" t="s">
        <v>91</v>
      </c>
      <c r="P188">
        <v>43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 t="s">
        <v>71</v>
      </c>
      <c r="AH188" s="1" t="str">
        <f t="shared" si="2"/>
        <v>Jr</v>
      </c>
      <c r="AI188" t="s">
        <v>72</v>
      </c>
      <c r="AJ188" s="4">
        <v>91.5</v>
      </c>
      <c r="AK188" s="1">
        <f>Table1[[#This Row],[avg_salary]]*1000</f>
        <v>91500</v>
      </c>
    </row>
    <row r="189" spans="1:37" x14ac:dyDescent="0.3">
      <c r="A189" s="1">
        <v>224</v>
      </c>
      <c r="B189" s="1" t="s">
        <v>386</v>
      </c>
      <c r="C189" s="1" t="s">
        <v>935</v>
      </c>
      <c r="D189" s="4">
        <v>100000</v>
      </c>
      <c r="E189" s="4">
        <v>166000</v>
      </c>
      <c r="F189" s="4">
        <v>133000</v>
      </c>
      <c r="G189" s="1" t="s">
        <v>1203</v>
      </c>
      <c r="H189" t="s">
        <v>1444</v>
      </c>
      <c r="I189" s="1" t="s">
        <v>1204</v>
      </c>
      <c r="J189" s="1" t="s">
        <v>780</v>
      </c>
      <c r="K189" s="1" t="s">
        <v>89</v>
      </c>
      <c r="L189" s="1" t="s">
        <v>89</v>
      </c>
      <c r="M189" s="1" t="s">
        <v>54</v>
      </c>
      <c r="N189" s="1" t="s">
        <v>387</v>
      </c>
      <c r="O189" s="1" t="s">
        <v>120</v>
      </c>
      <c r="P189">
        <v>44</v>
      </c>
      <c r="Q189" s="1">
        <v>1</v>
      </c>
      <c r="R189" s="1">
        <v>0</v>
      </c>
      <c r="S189" s="1">
        <v>1</v>
      </c>
      <c r="T189" s="1">
        <v>0</v>
      </c>
      <c r="U189" s="1">
        <v>1</v>
      </c>
      <c r="V189" s="1">
        <v>0</v>
      </c>
      <c r="W189" s="1">
        <v>0</v>
      </c>
      <c r="X189" s="1">
        <v>1</v>
      </c>
      <c r="Y189" s="1">
        <v>1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 t="s">
        <v>306</v>
      </c>
      <c r="AH189" s="1" t="str">
        <f t="shared" si="2"/>
        <v>Sr</v>
      </c>
      <c r="AI189" t="s">
        <v>72</v>
      </c>
      <c r="AJ189" s="4">
        <v>133</v>
      </c>
      <c r="AK189" s="1">
        <f>Table1[[#This Row],[avg_salary]]*1000</f>
        <v>133000</v>
      </c>
    </row>
    <row r="190" spans="1:37" x14ac:dyDescent="0.3">
      <c r="A190" s="1">
        <v>225</v>
      </c>
      <c r="B190" s="1" t="s">
        <v>388</v>
      </c>
      <c r="C190" s="1" t="s">
        <v>936</v>
      </c>
      <c r="D190" s="4">
        <v>108000</v>
      </c>
      <c r="E190" s="4">
        <v>173000</v>
      </c>
      <c r="F190" s="4">
        <v>140500</v>
      </c>
      <c r="G190" s="1" t="s">
        <v>1312</v>
      </c>
      <c r="H190" t="s">
        <v>1462</v>
      </c>
      <c r="I190" s="1" t="s">
        <v>1293</v>
      </c>
      <c r="J190" s="1" t="s">
        <v>780</v>
      </c>
      <c r="K190" s="1" t="s">
        <v>89</v>
      </c>
      <c r="L190" s="1" t="s">
        <v>89</v>
      </c>
      <c r="M190" s="1" t="s">
        <v>100</v>
      </c>
      <c r="N190" s="1" t="s">
        <v>389</v>
      </c>
      <c r="O190" s="1" t="s">
        <v>318</v>
      </c>
      <c r="P190">
        <v>25</v>
      </c>
      <c r="Q190" s="1">
        <v>1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1</v>
      </c>
      <c r="Y190" s="1">
        <v>1</v>
      </c>
      <c r="Z190" s="1">
        <v>1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 t="s">
        <v>33</v>
      </c>
      <c r="AH190" s="1" t="str">
        <f t="shared" si="2"/>
        <v>Sr</v>
      </c>
      <c r="AI190" t="s">
        <v>34</v>
      </c>
      <c r="AJ190" s="4">
        <v>140.5</v>
      </c>
      <c r="AK190" s="1">
        <f>Table1[[#This Row],[avg_salary]]*1000</f>
        <v>140500</v>
      </c>
    </row>
    <row r="191" spans="1:37" x14ac:dyDescent="0.3">
      <c r="A191" s="1">
        <v>226</v>
      </c>
      <c r="B191" s="1" t="s">
        <v>150</v>
      </c>
      <c r="C191" s="1" t="s">
        <v>937</v>
      </c>
      <c r="D191" s="4">
        <v>48000</v>
      </c>
      <c r="E191" s="4">
        <v>93000</v>
      </c>
      <c r="F191" s="4">
        <v>70500</v>
      </c>
      <c r="G191" s="1" t="s">
        <v>1313</v>
      </c>
      <c r="H191" t="s">
        <v>1456</v>
      </c>
      <c r="I191" s="1" t="s">
        <v>1259</v>
      </c>
      <c r="J191" s="1" t="s">
        <v>780</v>
      </c>
      <c r="K191" s="1" t="s">
        <v>145</v>
      </c>
      <c r="L191" s="1" t="s">
        <v>74</v>
      </c>
      <c r="M191" s="1" t="s">
        <v>54</v>
      </c>
      <c r="N191" s="1" t="s">
        <v>390</v>
      </c>
      <c r="O191" s="1" t="s">
        <v>234</v>
      </c>
      <c r="P191">
        <v>44</v>
      </c>
      <c r="Q191" s="1">
        <v>0</v>
      </c>
      <c r="R191" s="1">
        <v>0</v>
      </c>
      <c r="S191" s="1">
        <v>0</v>
      </c>
      <c r="T191" s="1">
        <v>1</v>
      </c>
      <c r="U191" s="1">
        <v>1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 t="s">
        <v>98</v>
      </c>
      <c r="AH191" s="1" t="str">
        <f t="shared" si="2"/>
        <v>Jr</v>
      </c>
      <c r="AI191" t="s">
        <v>34</v>
      </c>
      <c r="AJ191" s="4">
        <v>70.5</v>
      </c>
      <c r="AK191" s="1">
        <f>Table1[[#This Row],[avg_salary]]*1000</f>
        <v>70500</v>
      </c>
    </row>
    <row r="192" spans="1:37" x14ac:dyDescent="0.3">
      <c r="A192" s="1">
        <v>228</v>
      </c>
      <c r="B192" s="1" t="s">
        <v>391</v>
      </c>
      <c r="C192" s="1" t="s">
        <v>938</v>
      </c>
      <c r="D192" s="4">
        <v>54000</v>
      </c>
      <c r="E192" s="4">
        <v>115000</v>
      </c>
      <c r="F192" s="4">
        <v>84500</v>
      </c>
      <c r="G192" s="1" t="s">
        <v>1190</v>
      </c>
      <c r="H192" t="s">
        <v>1183</v>
      </c>
      <c r="I192" s="1" t="s">
        <v>1184</v>
      </c>
      <c r="J192" s="1" t="s">
        <v>69</v>
      </c>
      <c r="K192" s="1" t="s">
        <v>37</v>
      </c>
      <c r="L192" s="1" t="s">
        <v>38</v>
      </c>
      <c r="M192" s="1" t="s">
        <v>50</v>
      </c>
      <c r="N192" s="1" t="s">
        <v>70</v>
      </c>
      <c r="O192" s="1" t="s">
        <v>56</v>
      </c>
      <c r="P192">
        <v>46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 t="s">
        <v>71</v>
      </c>
      <c r="AH192" s="1" t="str">
        <f t="shared" si="2"/>
        <v>Jr</v>
      </c>
      <c r="AI192" t="s">
        <v>72</v>
      </c>
      <c r="AJ192" s="4">
        <v>84.5</v>
      </c>
      <c r="AK192" s="1">
        <f>Table1[[#This Row],[avg_salary]]*1000</f>
        <v>84500</v>
      </c>
    </row>
    <row r="193" spans="1:37" x14ac:dyDescent="0.3">
      <c r="A193" s="1">
        <v>229</v>
      </c>
      <c r="B193" s="1" t="s">
        <v>392</v>
      </c>
      <c r="C193" s="1" t="s">
        <v>939</v>
      </c>
      <c r="D193" s="4">
        <v>60000</v>
      </c>
      <c r="E193" s="4">
        <v>127000</v>
      </c>
      <c r="F193" s="4">
        <v>93500</v>
      </c>
      <c r="G193" s="1" t="s">
        <v>1314</v>
      </c>
      <c r="H193" t="s">
        <v>1436</v>
      </c>
      <c r="I193" s="1" t="s">
        <v>1178</v>
      </c>
      <c r="J193" s="1" t="s">
        <v>780</v>
      </c>
      <c r="K193" s="1" t="s">
        <v>145</v>
      </c>
      <c r="L193" s="1" t="s">
        <v>74</v>
      </c>
      <c r="M193" s="1" t="s">
        <v>201</v>
      </c>
      <c r="N193" s="1" t="s">
        <v>393</v>
      </c>
      <c r="O193" s="1" t="s">
        <v>41</v>
      </c>
      <c r="P193">
        <v>30</v>
      </c>
      <c r="Q193" s="1">
        <v>0</v>
      </c>
      <c r="R193" s="1">
        <v>0</v>
      </c>
      <c r="S193" s="1">
        <v>0</v>
      </c>
      <c r="T193" s="1">
        <v>1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 t="s">
        <v>1474</v>
      </c>
      <c r="AH193" s="1" t="str">
        <f t="shared" si="2"/>
        <v>Jr</v>
      </c>
      <c r="AI193" t="s">
        <v>34</v>
      </c>
      <c r="AJ193" s="4">
        <v>93.5</v>
      </c>
      <c r="AK193" s="1">
        <f>Table1[[#This Row],[avg_salary]]*1000</f>
        <v>93500</v>
      </c>
    </row>
    <row r="194" spans="1:37" x14ac:dyDescent="0.3">
      <c r="A194" s="1">
        <v>230</v>
      </c>
      <c r="B194" s="1" t="s">
        <v>394</v>
      </c>
      <c r="C194" s="1" t="s">
        <v>940</v>
      </c>
      <c r="D194" s="4">
        <v>90000</v>
      </c>
      <c r="E194" s="4">
        <v>179000</v>
      </c>
      <c r="F194" s="4">
        <v>134500</v>
      </c>
      <c r="G194" s="1" t="s">
        <v>1195</v>
      </c>
      <c r="H194" t="s">
        <v>1441</v>
      </c>
      <c r="I194" s="1" t="s">
        <v>1196</v>
      </c>
      <c r="J194" s="1" t="s">
        <v>781</v>
      </c>
      <c r="K194" s="1" t="s">
        <v>89</v>
      </c>
      <c r="L194" s="1" t="s">
        <v>89</v>
      </c>
      <c r="M194" s="1" t="s">
        <v>44</v>
      </c>
      <c r="N194" s="1" t="s">
        <v>356</v>
      </c>
      <c r="O194" s="1" t="s">
        <v>91</v>
      </c>
      <c r="P194">
        <v>26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 t="s">
        <v>71</v>
      </c>
      <c r="AH194" s="1" t="str">
        <f t="shared" ref="AH194:AH257" si="3">IF(VALUE(AJ194) &gt;= 114, "Sr", "Jr")</f>
        <v>Sr</v>
      </c>
      <c r="AI194" t="s">
        <v>72</v>
      </c>
      <c r="AJ194" s="4">
        <v>134.5</v>
      </c>
      <c r="AK194" s="1">
        <f>Table1[[#This Row],[avg_salary]]*1000</f>
        <v>134500</v>
      </c>
    </row>
    <row r="195" spans="1:37" x14ac:dyDescent="0.3">
      <c r="A195" s="1">
        <v>233</v>
      </c>
      <c r="B195" s="1" t="s">
        <v>395</v>
      </c>
      <c r="C195" s="1" t="s">
        <v>941</v>
      </c>
      <c r="D195" s="4">
        <v>138000</v>
      </c>
      <c r="E195" s="4">
        <v>224000</v>
      </c>
      <c r="F195" s="4">
        <v>181000</v>
      </c>
      <c r="G195" s="1" t="s">
        <v>1200</v>
      </c>
      <c r="H195" t="s">
        <v>1439</v>
      </c>
      <c r="I195" s="1" t="s">
        <v>1189</v>
      </c>
      <c r="J195" s="1" t="s">
        <v>780</v>
      </c>
      <c r="K195" s="1" t="s">
        <v>73</v>
      </c>
      <c r="L195" s="1" t="s">
        <v>74</v>
      </c>
      <c r="M195" s="1" t="s">
        <v>121</v>
      </c>
      <c r="N195" s="1" t="s">
        <v>396</v>
      </c>
      <c r="O195" s="1" t="s">
        <v>67</v>
      </c>
      <c r="P195">
        <v>40</v>
      </c>
      <c r="Q195" s="1">
        <v>1</v>
      </c>
      <c r="R195" s="1">
        <v>1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 t="s">
        <v>306</v>
      </c>
      <c r="AH195" s="1" t="str">
        <f t="shared" si="3"/>
        <v>Sr</v>
      </c>
      <c r="AI195" t="s">
        <v>34</v>
      </c>
      <c r="AJ195" s="4">
        <v>181</v>
      </c>
      <c r="AK195" s="1">
        <f>Table1[[#This Row],[avg_salary]]*1000</f>
        <v>181000</v>
      </c>
    </row>
    <row r="196" spans="1:37" x14ac:dyDescent="0.3">
      <c r="A196" s="1">
        <v>234</v>
      </c>
      <c r="B196" s="1" t="s">
        <v>397</v>
      </c>
      <c r="C196" s="1" t="s">
        <v>938</v>
      </c>
      <c r="D196" s="4">
        <v>54000</v>
      </c>
      <c r="E196" s="4">
        <v>115000</v>
      </c>
      <c r="F196" s="4">
        <v>84500</v>
      </c>
      <c r="G196" s="1" t="s">
        <v>1190</v>
      </c>
      <c r="H196" t="s">
        <v>1183</v>
      </c>
      <c r="I196" s="1" t="s">
        <v>1184</v>
      </c>
      <c r="J196" s="1" t="s">
        <v>69</v>
      </c>
      <c r="K196" s="1" t="s">
        <v>37</v>
      </c>
      <c r="L196" s="1" t="s">
        <v>38</v>
      </c>
      <c r="M196" s="1" t="s">
        <v>50</v>
      </c>
      <c r="N196" s="1" t="s">
        <v>70</v>
      </c>
      <c r="O196" s="1" t="s">
        <v>56</v>
      </c>
      <c r="P196">
        <v>54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 t="s">
        <v>71</v>
      </c>
      <c r="AH196" s="1" t="str">
        <f t="shared" si="3"/>
        <v>Jr</v>
      </c>
      <c r="AI196" t="s">
        <v>72</v>
      </c>
      <c r="AJ196" s="4">
        <v>84.5</v>
      </c>
      <c r="AK196" s="1">
        <f>Table1[[#This Row],[avg_salary]]*1000</f>
        <v>84500</v>
      </c>
    </row>
    <row r="197" spans="1:37" x14ac:dyDescent="0.3">
      <c r="A197" s="1">
        <v>235</v>
      </c>
      <c r="B197" s="1" t="s">
        <v>398</v>
      </c>
      <c r="C197" s="1" t="s">
        <v>1411</v>
      </c>
      <c r="D197" s="4">
        <v>190000</v>
      </c>
      <c r="E197" s="4">
        <v>220000</v>
      </c>
      <c r="F197" s="4">
        <v>205000</v>
      </c>
      <c r="G197" s="1" t="s">
        <v>1199</v>
      </c>
      <c r="H197" t="s">
        <v>1439</v>
      </c>
      <c r="I197" s="1" t="s">
        <v>1189</v>
      </c>
      <c r="J197" s="1" t="s">
        <v>780</v>
      </c>
      <c r="K197" s="1" t="s">
        <v>73</v>
      </c>
      <c r="L197" s="1" t="s">
        <v>74</v>
      </c>
      <c r="M197" s="1" t="s">
        <v>30</v>
      </c>
      <c r="N197" s="1" t="s">
        <v>399</v>
      </c>
      <c r="O197" s="1" t="s">
        <v>67</v>
      </c>
      <c r="P197">
        <v>30</v>
      </c>
      <c r="Q197" s="1">
        <v>1</v>
      </c>
      <c r="R197" s="1">
        <v>1</v>
      </c>
      <c r="S197" s="1">
        <v>1</v>
      </c>
      <c r="T197" s="1">
        <v>0</v>
      </c>
      <c r="U197" s="1">
        <v>1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 t="s">
        <v>98</v>
      </c>
      <c r="AH197" s="1" t="str">
        <f t="shared" si="3"/>
        <v>Sr</v>
      </c>
      <c r="AI197" t="s">
        <v>34</v>
      </c>
      <c r="AJ197" s="4">
        <v>205</v>
      </c>
      <c r="AK197" s="1">
        <f>Table1[[#This Row],[avg_salary]]*1000</f>
        <v>205000</v>
      </c>
    </row>
    <row r="198" spans="1:37" x14ac:dyDescent="0.3">
      <c r="A198" s="1">
        <v>239</v>
      </c>
      <c r="B198" s="1" t="s">
        <v>400</v>
      </c>
      <c r="C198" s="1" t="s">
        <v>942</v>
      </c>
      <c r="D198" s="4">
        <v>35000</v>
      </c>
      <c r="E198" s="4">
        <v>62000</v>
      </c>
      <c r="F198" s="4">
        <v>48500</v>
      </c>
      <c r="G198" s="1" t="s">
        <v>1315</v>
      </c>
      <c r="H198" t="s">
        <v>1439</v>
      </c>
      <c r="I198" s="1" t="s">
        <v>1189</v>
      </c>
      <c r="J198" s="1" t="s">
        <v>780</v>
      </c>
      <c r="K198" s="1" t="s">
        <v>401</v>
      </c>
      <c r="L198" s="1" t="s">
        <v>402</v>
      </c>
      <c r="M198" s="1" t="s">
        <v>44</v>
      </c>
      <c r="N198" s="1" t="s">
        <v>403</v>
      </c>
      <c r="O198" s="1" t="s">
        <v>67</v>
      </c>
      <c r="P198">
        <v>57</v>
      </c>
      <c r="Q198" s="1">
        <v>0</v>
      </c>
      <c r="R198" s="1">
        <v>0</v>
      </c>
      <c r="S198" s="1">
        <v>0</v>
      </c>
      <c r="T198" s="1">
        <v>1</v>
      </c>
      <c r="U198" s="1">
        <v>1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1</v>
      </c>
      <c r="AG198" s="1" t="s">
        <v>88</v>
      </c>
      <c r="AH198" s="1" t="str">
        <f t="shared" si="3"/>
        <v>Jr</v>
      </c>
      <c r="AI198" t="s">
        <v>34</v>
      </c>
      <c r="AJ198" s="4">
        <v>48.5</v>
      </c>
      <c r="AK198" s="1">
        <f>Table1[[#This Row],[avg_salary]]*1000</f>
        <v>48500</v>
      </c>
    </row>
    <row r="199" spans="1:37" x14ac:dyDescent="0.3">
      <c r="A199" s="1">
        <v>240</v>
      </c>
      <c r="B199" s="1" t="s">
        <v>404</v>
      </c>
      <c r="C199" s="1" t="s">
        <v>1426</v>
      </c>
      <c r="D199" s="4">
        <v>37000</v>
      </c>
      <c r="E199" s="4">
        <v>52000</v>
      </c>
      <c r="F199" s="4">
        <v>44500</v>
      </c>
      <c r="G199" s="1" t="s">
        <v>1316</v>
      </c>
      <c r="H199" t="s">
        <v>1438</v>
      </c>
      <c r="I199" s="1" t="s">
        <v>1186</v>
      </c>
      <c r="J199" s="1" t="s">
        <v>69</v>
      </c>
      <c r="K199" s="1" t="s">
        <v>37</v>
      </c>
      <c r="L199" s="1" t="s">
        <v>38</v>
      </c>
      <c r="M199" s="1" t="s">
        <v>30</v>
      </c>
      <c r="N199" s="1" t="s">
        <v>405</v>
      </c>
      <c r="O199" s="1" t="s">
        <v>60</v>
      </c>
      <c r="P199">
        <v>40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 t="s">
        <v>71</v>
      </c>
      <c r="AH199" s="1" t="str">
        <f t="shared" si="3"/>
        <v>Jr</v>
      </c>
      <c r="AI199" t="s">
        <v>34</v>
      </c>
      <c r="AJ199" s="4">
        <v>44.5</v>
      </c>
      <c r="AK199" s="1">
        <f>Table1[[#This Row],[avg_salary]]*1000</f>
        <v>44500</v>
      </c>
    </row>
    <row r="200" spans="1:37" x14ac:dyDescent="0.3">
      <c r="A200" s="1">
        <v>242</v>
      </c>
      <c r="B200" s="1" t="s">
        <v>406</v>
      </c>
      <c r="C200" s="1" t="s">
        <v>943</v>
      </c>
      <c r="D200" s="4">
        <v>39000</v>
      </c>
      <c r="E200" s="4">
        <v>66000</v>
      </c>
      <c r="F200" s="4">
        <v>52500</v>
      </c>
      <c r="G200" s="1" t="s">
        <v>1317</v>
      </c>
      <c r="H200" t="s">
        <v>1444</v>
      </c>
      <c r="I200" s="1" t="s">
        <v>1204</v>
      </c>
      <c r="J200" s="1" t="s">
        <v>780</v>
      </c>
      <c r="K200" s="1" t="s">
        <v>407</v>
      </c>
      <c r="L200" s="1" t="s">
        <v>158</v>
      </c>
      <c r="M200" s="1" t="s">
        <v>44</v>
      </c>
      <c r="N200" s="1" t="s">
        <v>408</v>
      </c>
      <c r="O200" s="1" t="s">
        <v>120</v>
      </c>
      <c r="P200">
        <v>21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 t="s">
        <v>71</v>
      </c>
      <c r="AH200" s="1" t="str">
        <f t="shared" si="3"/>
        <v>Jr</v>
      </c>
      <c r="AI200" t="s">
        <v>34</v>
      </c>
      <c r="AJ200" s="4">
        <v>52.5</v>
      </c>
      <c r="AK200" s="1">
        <f>Table1[[#This Row],[avg_salary]]*1000</f>
        <v>52500</v>
      </c>
    </row>
    <row r="201" spans="1:37" x14ac:dyDescent="0.3">
      <c r="A201" s="1">
        <v>243</v>
      </c>
      <c r="B201" s="1" t="s">
        <v>409</v>
      </c>
      <c r="C201" s="1" t="s">
        <v>900</v>
      </c>
      <c r="D201" s="4">
        <v>81000</v>
      </c>
      <c r="E201" s="4">
        <v>167000</v>
      </c>
      <c r="F201" s="4">
        <v>124000</v>
      </c>
      <c r="G201" s="1" t="s">
        <v>1252</v>
      </c>
      <c r="H201" t="s">
        <v>1453</v>
      </c>
      <c r="I201" s="1" t="s">
        <v>1241</v>
      </c>
      <c r="J201" s="1" t="s">
        <v>322</v>
      </c>
      <c r="K201" s="1" t="s">
        <v>323</v>
      </c>
      <c r="L201" s="1" t="s">
        <v>255</v>
      </c>
      <c r="M201" s="1" t="s">
        <v>54</v>
      </c>
      <c r="N201" s="1" t="s">
        <v>324</v>
      </c>
      <c r="O201" s="1" t="s">
        <v>194</v>
      </c>
      <c r="P201">
        <v>53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 t="s">
        <v>306</v>
      </c>
      <c r="AH201" s="1" t="str">
        <f t="shared" si="3"/>
        <v>Sr</v>
      </c>
      <c r="AI201" t="s">
        <v>72</v>
      </c>
      <c r="AJ201" s="4">
        <v>124</v>
      </c>
      <c r="AK201" s="1">
        <f>Table1[[#This Row],[avg_salary]]*1000</f>
        <v>124000</v>
      </c>
    </row>
    <row r="202" spans="1:37" x14ac:dyDescent="0.3">
      <c r="A202" s="1">
        <v>245</v>
      </c>
      <c r="B202" s="1" t="s">
        <v>410</v>
      </c>
      <c r="C202" s="1" t="s">
        <v>944</v>
      </c>
      <c r="D202" s="4">
        <v>42000</v>
      </c>
      <c r="E202" s="4">
        <v>86000</v>
      </c>
      <c r="F202" s="4">
        <v>64000</v>
      </c>
      <c r="G202" s="1" t="s">
        <v>1318</v>
      </c>
      <c r="H202" t="s">
        <v>1439</v>
      </c>
      <c r="I202" s="1" t="s">
        <v>1189</v>
      </c>
      <c r="J202" s="1" t="s">
        <v>107</v>
      </c>
      <c r="K202" s="1" t="s">
        <v>37</v>
      </c>
      <c r="L202" s="1" t="s">
        <v>38</v>
      </c>
      <c r="M202" s="1" t="s">
        <v>50</v>
      </c>
      <c r="N202" s="1" t="s">
        <v>411</v>
      </c>
      <c r="O202" s="1" t="s">
        <v>67</v>
      </c>
      <c r="P202">
        <v>40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 t="s">
        <v>295</v>
      </c>
      <c r="AH202" s="1" t="str">
        <f t="shared" si="3"/>
        <v>Jr</v>
      </c>
      <c r="AI202" t="s">
        <v>34</v>
      </c>
      <c r="AJ202" s="4">
        <v>64</v>
      </c>
      <c r="AK202" s="1">
        <f>Table1[[#This Row],[avg_salary]]*1000</f>
        <v>64000</v>
      </c>
    </row>
    <row r="203" spans="1:37" x14ac:dyDescent="0.3">
      <c r="A203" s="1">
        <v>246</v>
      </c>
      <c r="B203" s="1" t="s">
        <v>412</v>
      </c>
      <c r="C203" s="1" t="s">
        <v>945</v>
      </c>
      <c r="D203" s="4">
        <v>69000</v>
      </c>
      <c r="E203" s="4">
        <v>127000</v>
      </c>
      <c r="F203" s="4">
        <v>98000</v>
      </c>
      <c r="G203" s="1" t="s">
        <v>1319</v>
      </c>
      <c r="H203" t="s">
        <v>1463</v>
      </c>
      <c r="I203" s="1" t="s">
        <v>1295</v>
      </c>
      <c r="J203" s="1" t="s">
        <v>780</v>
      </c>
      <c r="K203" s="1" t="s">
        <v>413</v>
      </c>
      <c r="L203" s="1" t="s">
        <v>77</v>
      </c>
      <c r="M203" s="1" t="s">
        <v>84</v>
      </c>
      <c r="N203" s="1" t="s">
        <v>414</v>
      </c>
      <c r="O203" s="1" t="s">
        <v>331</v>
      </c>
      <c r="P203">
        <v>38</v>
      </c>
      <c r="Q203" s="1">
        <v>1</v>
      </c>
      <c r="R203" s="1">
        <v>0</v>
      </c>
      <c r="S203" s="1">
        <v>0</v>
      </c>
      <c r="T203" s="1">
        <v>0</v>
      </c>
      <c r="U203" s="1">
        <v>1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 t="s">
        <v>98</v>
      </c>
      <c r="AH203" s="1" t="str">
        <f t="shared" si="3"/>
        <v>Jr</v>
      </c>
      <c r="AI203" t="s">
        <v>34</v>
      </c>
      <c r="AJ203" s="4">
        <v>98</v>
      </c>
      <c r="AK203" s="1">
        <f>Table1[[#This Row],[avg_salary]]*1000</f>
        <v>98000</v>
      </c>
    </row>
    <row r="204" spans="1:37" x14ac:dyDescent="0.3">
      <c r="A204" s="1">
        <v>247</v>
      </c>
      <c r="B204" s="1" t="s">
        <v>415</v>
      </c>
      <c r="C204" s="1" t="s">
        <v>1425</v>
      </c>
      <c r="D204" s="4">
        <v>43000</v>
      </c>
      <c r="E204" s="4">
        <v>70000</v>
      </c>
      <c r="F204" s="4">
        <v>56500</v>
      </c>
      <c r="G204" s="1" t="s">
        <v>1320</v>
      </c>
      <c r="H204" t="s">
        <v>1464</v>
      </c>
      <c r="I204" s="1" t="s">
        <v>1308</v>
      </c>
      <c r="J204" s="1" t="s">
        <v>107</v>
      </c>
      <c r="K204" s="1" t="s">
        <v>37</v>
      </c>
      <c r="L204" s="1" t="s">
        <v>38</v>
      </c>
      <c r="M204" s="1" t="s">
        <v>44</v>
      </c>
      <c r="N204" s="1" t="s">
        <v>369</v>
      </c>
      <c r="O204" s="1" t="s">
        <v>370</v>
      </c>
      <c r="P204">
        <v>46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 t="s">
        <v>71</v>
      </c>
      <c r="AH204" s="1" t="str">
        <f t="shared" si="3"/>
        <v>Jr</v>
      </c>
      <c r="AI204" t="s">
        <v>34</v>
      </c>
      <c r="AJ204" s="4">
        <v>56.5</v>
      </c>
      <c r="AK204" s="1">
        <f>Table1[[#This Row],[avg_salary]]*1000</f>
        <v>56500</v>
      </c>
    </row>
    <row r="205" spans="1:37" x14ac:dyDescent="0.3">
      <c r="A205" s="1">
        <v>248</v>
      </c>
      <c r="B205" s="1" t="s">
        <v>416</v>
      </c>
      <c r="C205" s="1" t="s">
        <v>946</v>
      </c>
      <c r="D205" s="4">
        <v>40000</v>
      </c>
      <c r="E205" s="4">
        <v>68000</v>
      </c>
      <c r="F205" s="4">
        <v>54000</v>
      </c>
      <c r="G205" s="1" t="s">
        <v>1265</v>
      </c>
      <c r="H205" t="s">
        <v>1457</v>
      </c>
      <c r="I205" s="1" t="s">
        <v>1266</v>
      </c>
      <c r="J205" s="1" t="s">
        <v>780</v>
      </c>
      <c r="K205" s="1" t="s">
        <v>407</v>
      </c>
      <c r="L205" s="1" t="s">
        <v>158</v>
      </c>
      <c r="M205" s="1" t="s">
        <v>54</v>
      </c>
      <c r="N205" s="1" t="s">
        <v>417</v>
      </c>
      <c r="O205" s="1" t="s">
        <v>249</v>
      </c>
      <c r="P205">
        <v>24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 t="s">
        <v>71</v>
      </c>
      <c r="AH205" s="1" t="str">
        <f t="shared" si="3"/>
        <v>Jr</v>
      </c>
      <c r="AI205" t="s">
        <v>34</v>
      </c>
      <c r="AJ205" s="4">
        <v>54</v>
      </c>
      <c r="AK205" s="1">
        <f>Table1[[#This Row],[avg_salary]]*1000</f>
        <v>54000</v>
      </c>
    </row>
    <row r="206" spans="1:37" x14ac:dyDescent="0.3">
      <c r="A206" s="1">
        <v>250</v>
      </c>
      <c r="B206" s="1" t="s">
        <v>418</v>
      </c>
      <c r="C206" s="1" t="s">
        <v>947</v>
      </c>
      <c r="D206" s="4">
        <v>49000</v>
      </c>
      <c r="E206" s="4">
        <v>113000</v>
      </c>
      <c r="F206" s="4">
        <v>81000</v>
      </c>
      <c r="G206" s="1" t="s">
        <v>1279</v>
      </c>
      <c r="H206" t="s">
        <v>1436</v>
      </c>
      <c r="I206" s="1" t="s">
        <v>1178</v>
      </c>
      <c r="J206" s="1" t="s">
        <v>780</v>
      </c>
      <c r="K206" s="1" t="s">
        <v>89</v>
      </c>
      <c r="L206" s="1" t="s">
        <v>89</v>
      </c>
      <c r="M206" s="1" t="s">
        <v>65</v>
      </c>
      <c r="N206" s="1" t="s">
        <v>419</v>
      </c>
      <c r="O206" s="1" t="s">
        <v>41</v>
      </c>
      <c r="P206">
        <v>53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 t="s">
        <v>71</v>
      </c>
      <c r="AH206" s="1" t="str">
        <f t="shared" si="3"/>
        <v>Jr</v>
      </c>
      <c r="AI206" t="s">
        <v>72</v>
      </c>
      <c r="AJ206" s="4">
        <v>81</v>
      </c>
      <c r="AK206" s="1">
        <f>Table1[[#This Row],[avg_salary]]*1000</f>
        <v>81000</v>
      </c>
    </row>
    <row r="207" spans="1:37" x14ac:dyDescent="0.3">
      <c r="A207" s="1">
        <v>251</v>
      </c>
      <c r="B207" s="1" t="s">
        <v>420</v>
      </c>
      <c r="C207" s="1" t="s">
        <v>948</v>
      </c>
      <c r="D207" s="4">
        <v>75000</v>
      </c>
      <c r="E207" s="4">
        <v>140000</v>
      </c>
      <c r="F207" s="4">
        <v>107500</v>
      </c>
      <c r="G207" s="1" t="s">
        <v>1203</v>
      </c>
      <c r="H207" t="s">
        <v>1444</v>
      </c>
      <c r="I207" s="1" t="s">
        <v>1204</v>
      </c>
      <c r="J207" s="1" t="s">
        <v>781</v>
      </c>
      <c r="K207" s="1" t="s">
        <v>421</v>
      </c>
      <c r="L207" s="1" t="s">
        <v>118</v>
      </c>
      <c r="M207" s="1" t="s">
        <v>39</v>
      </c>
      <c r="N207" s="1" t="s">
        <v>422</v>
      </c>
      <c r="O207" s="1" t="s">
        <v>120</v>
      </c>
      <c r="P207">
        <v>28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 t="s">
        <v>98</v>
      </c>
      <c r="AH207" s="1" t="str">
        <f t="shared" si="3"/>
        <v>Jr</v>
      </c>
      <c r="AI207" t="s">
        <v>72</v>
      </c>
      <c r="AJ207" s="4">
        <v>107.5</v>
      </c>
      <c r="AK207" s="1">
        <f>Table1[[#This Row],[avg_salary]]*1000</f>
        <v>107500</v>
      </c>
    </row>
    <row r="208" spans="1:37" x14ac:dyDescent="0.3">
      <c r="A208" s="1">
        <v>253</v>
      </c>
      <c r="B208" s="1" t="s">
        <v>116</v>
      </c>
      <c r="C208" s="1" t="s">
        <v>804</v>
      </c>
      <c r="D208" s="4">
        <v>86000</v>
      </c>
      <c r="E208" s="4">
        <v>139000</v>
      </c>
      <c r="F208" s="4">
        <v>112500</v>
      </c>
      <c r="G208" s="1" t="s">
        <v>1203</v>
      </c>
      <c r="H208" t="s">
        <v>1444</v>
      </c>
      <c r="I208" s="1" t="s">
        <v>1204</v>
      </c>
      <c r="J208" s="1" t="s">
        <v>780</v>
      </c>
      <c r="K208" s="1" t="s">
        <v>117</v>
      </c>
      <c r="L208" s="1" t="s">
        <v>118</v>
      </c>
      <c r="M208" s="1" t="s">
        <v>54</v>
      </c>
      <c r="N208" s="1" t="s">
        <v>119</v>
      </c>
      <c r="O208" s="1" t="s">
        <v>120</v>
      </c>
      <c r="P208">
        <v>41</v>
      </c>
      <c r="Q208" s="1">
        <v>1</v>
      </c>
      <c r="R208" s="1">
        <v>0</v>
      </c>
      <c r="S208" s="1">
        <v>1</v>
      </c>
      <c r="T208" s="1">
        <v>1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1</v>
      </c>
      <c r="AF208" s="1">
        <v>0</v>
      </c>
      <c r="AG208" s="1" t="s">
        <v>33</v>
      </c>
      <c r="AH208" s="1" t="str">
        <f t="shared" si="3"/>
        <v>Jr</v>
      </c>
      <c r="AI208" t="s">
        <v>34</v>
      </c>
      <c r="AJ208" s="4">
        <v>112.5</v>
      </c>
      <c r="AK208" s="1">
        <f>Table1[[#This Row],[avg_salary]]*1000</f>
        <v>112500</v>
      </c>
    </row>
    <row r="209" spans="1:37" x14ac:dyDescent="0.3">
      <c r="A209" s="1">
        <v>254</v>
      </c>
      <c r="B209" s="1" t="s">
        <v>28</v>
      </c>
      <c r="C209" s="1" t="s">
        <v>949</v>
      </c>
      <c r="D209" s="4">
        <v>66000</v>
      </c>
      <c r="E209" s="4">
        <v>112000</v>
      </c>
      <c r="F209" s="4">
        <v>89000</v>
      </c>
      <c r="G209" s="1" t="s">
        <v>1207</v>
      </c>
      <c r="H209" t="s">
        <v>1440</v>
      </c>
      <c r="I209" s="1" t="s">
        <v>1192</v>
      </c>
      <c r="J209" s="1" t="s">
        <v>781</v>
      </c>
      <c r="K209" s="1" t="s">
        <v>29</v>
      </c>
      <c r="L209" s="1" t="s">
        <v>29</v>
      </c>
      <c r="M209" s="1" t="s">
        <v>84</v>
      </c>
      <c r="N209" s="1" t="s">
        <v>423</v>
      </c>
      <c r="O209" s="1" t="s">
        <v>81</v>
      </c>
      <c r="P209">
        <v>31</v>
      </c>
      <c r="Q209" s="1">
        <v>1</v>
      </c>
      <c r="R209" s="1">
        <v>1</v>
      </c>
      <c r="S209" s="1">
        <v>0</v>
      </c>
      <c r="T209" s="1">
        <v>1</v>
      </c>
      <c r="U209" s="1">
        <v>1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1</v>
      </c>
      <c r="AB209" s="1">
        <v>1</v>
      </c>
      <c r="AC209" s="1">
        <v>0</v>
      </c>
      <c r="AD209" s="1">
        <v>0</v>
      </c>
      <c r="AE209" s="1">
        <v>0</v>
      </c>
      <c r="AF209" s="1">
        <v>0</v>
      </c>
      <c r="AG209" s="1" t="s">
        <v>33</v>
      </c>
      <c r="AH209" s="1" t="str">
        <f t="shared" si="3"/>
        <v>Jr</v>
      </c>
      <c r="AI209" t="s">
        <v>72</v>
      </c>
      <c r="AJ209" s="4">
        <v>89</v>
      </c>
      <c r="AK209" s="1">
        <f>Table1[[#This Row],[avg_salary]]*1000</f>
        <v>89000</v>
      </c>
    </row>
    <row r="210" spans="1:37" x14ac:dyDescent="0.3">
      <c r="A210" s="1">
        <v>255</v>
      </c>
      <c r="B210" s="1" t="s">
        <v>424</v>
      </c>
      <c r="C210" s="1" t="s">
        <v>950</v>
      </c>
      <c r="D210" s="4">
        <v>76000</v>
      </c>
      <c r="E210" s="4">
        <v>125000</v>
      </c>
      <c r="F210" s="4">
        <v>100500</v>
      </c>
      <c r="G210" s="1" t="s">
        <v>1321</v>
      </c>
      <c r="H210" t="s">
        <v>1457</v>
      </c>
      <c r="I210" s="1" t="s">
        <v>1266</v>
      </c>
      <c r="J210" s="1" t="s">
        <v>780</v>
      </c>
      <c r="K210" s="1" t="s">
        <v>108</v>
      </c>
      <c r="L210" s="1" t="s">
        <v>109</v>
      </c>
      <c r="M210" s="1" t="s">
        <v>58</v>
      </c>
      <c r="N210" s="1" t="s">
        <v>425</v>
      </c>
      <c r="O210" s="1" t="s">
        <v>249</v>
      </c>
      <c r="P210">
        <v>50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 t="s">
        <v>33</v>
      </c>
      <c r="AH210" s="1" t="str">
        <f t="shared" si="3"/>
        <v>Jr</v>
      </c>
      <c r="AI210" t="s">
        <v>34</v>
      </c>
      <c r="AJ210" s="4">
        <v>100.5</v>
      </c>
      <c r="AK210" s="1">
        <f>Table1[[#This Row],[avg_salary]]*1000</f>
        <v>100500</v>
      </c>
    </row>
    <row r="211" spans="1:37" x14ac:dyDescent="0.3">
      <c r="A211" s="1">
        <v>256</v>
      </c>
      <c r="B211" s="1" t="s">
        <v>426</v>
      </c>
      <c r="C211" s="1" t="s">
        <v>951</v>
      </c>
      <c r="D211" s="4">
        <v>44000</v>
      </c>
      <c r="E211" s="4">
        <v>86000</v>
      </c>
      <c r="F211" s="4">
        <v>65000</v>
      </c>
      <c r="G211" s="1" t="s">
        <v>1183</v>
      </c>
      <c r="H211" t="s">
        <v>1183</v>
      </c>
      <c r="I211" s="1" t="s">
        <v>1184</v>
      </c>
      <c r="J211" s="1" t="s">
        <v>780</v>
      </c>
      <c r="K211" s="1" t="s">
        <v>311</v>
      </c>
      <c r="L211" s="1" t="s">
        <v>312</v>
      </c>
      <c r="M211" s="1" t="s">
        <v>39</v>
      </c>
      <c r="N211" s="1" t="s">
        <v>427</v>
      </c>
      <c r="O211" s="1" t="s">
        <v>56</v>
      </c>
      <c r="P211">
        <v>33</v>
      </c>
      <c r="Q211" s="1">
        <v>0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1</v>
      </c>
      <c r="AD211" s="1">
        <v>0</v>
      </c>
      <c r="AE211" s="1">
        <v>0</v>
      </c>
      <c r="AF211" s="1">
        <v>0</v>
      </c>
      <c r="AG211" s="1" t="s">
        <v>88</v>
      </c>
      <c r="AH211" s="1" t="str">
        <f t="shared" si="3"/>
        <v>Jr</v>
      </c>
      <c r="AI211" t="s">
        <v>34</v>
      </c>
      <c r="AJ211" s="4">
        <v>65</v>
      </c>
      <c r="AK211" s="1">
        <f>Table1[[#This Row],[avg_salary]]*1000</f>
        <v>65000</v>
      </c>
    </row>
    <row r="212" spans="1:37" x14ac:dyDescent="0.3">
      <c r="A212" s="1">
        <v>257</v>
      </c>
      <c r="B212" s="1" t="s">
        <v>428</v>
      </c>
      <c r="C212" s="1" t="s">
        <v>1427</v>
      </c>
      <c r="D212" s="4">
        <v>31000</v>
      </c>
      <c r="E212" s="4">
        <v>52000</v>
      </c>
      <c r="F212" s="4">
        <v>41500</v>
      </c>
      <c r="G212" s="1" t="s">
        <v>1258</v>
      </c>
      <c r="H212" t="s">
        <v>1456</v>
      </c>
      <c r="I212" s="1" t="s">
        <v>1259</v>
      </c>
      <c r="J212" s="1" t="s">
        <v>47</v>
      </c>
      <c r="K212" s="1" t="s">
        <v>246</v>
      </c>
      <c r="L212" s="1" t="s">
        <v>47</v>
      </c>
      <c r="M212" s="1" t="s">
        <v>54</v>
      </c>
      <c r="N212" s="1" t="s">
        <v>429</v>
      </c>
      <c r="O212" s="1" t="s">
        <v>234</v>
      </c>
      <c r="P212">
        <v>35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 t="s">
        <v>71</v>
      </c>
      <c r="AH212" s="1" t="str">
        <f t="shared" si="3"/>
        <v>Jr</v>
      </c>
      <c r="AI212" t="s">
        <v>34</v>
      </c>
      <c r="AJ212" s="4">
        <v>41.5</v>
      </c>
      <c r="AK212" s="1">
        <f>Table1[[#This Row],[avg_salary]]*1000</f>
        <v>41500</v>
      </c>
    </row>
    <row r="213" spans="1:37" x14ac:dyDescent="0.3">
      <c r="A213" s="1">
        <v>258</v>
      </c>
      <c r="B213" s="1" t="s">
        <v>28</v>
      </c>
      <c r="C213" s="1" t="s">
        <v>952</v>
      </c>
      <c r="D213" s="4">
        <v>53000</v>
      </c>
      <c r="E213" s="4">
        <v>92000</v>
      </c>
      <c r="F213" s="4">
        <v>72500</v>
      </c>
      <c r="G213" s="1" t="s">
        <v>1185</v>
      </c>
      <c r="H213" t="s">
        <v>1438</v>
      </c>
      <c r="I213" s="1" t="s">
        <v>1186</v>
      </c>
      <c r="J213" s="1" t="s">
        <v>93</v>
      </c>
      <c r="K213" s="1" t="s">
        <v>64</v>
      </c>
      <c r="L213" s="1" t="s">
        <v>43</v>
      </c>
      <c r="M213" s="1" t="s">
        <v>54</v>
      </c>
      <c r="N213" s="1" t="s">
        <v>430</v>
      </c>
      <c r="O213" s="1" t="s">
        <v>60</v>
      </c>
      <c r="P213">
        <v>38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1</v>
      </c>
      <c r="AC213" s="1">
        <v>1</v>
      </c>
      <c r="AD213" s="1">
        <v>0</v>
      </c>
      <c r="AE213" s="1">
        <v>0</v>
      </c>
      <c r="AF213" s="1">
        <v>0</v>
      </c>
      <c r="AG213" s="1" t="s">
        <v>33</v>
      </c>
      <c r="AH213" s="1" t="str">
        <f t="shared" si="3"/>
        <v>Jr</v>
      </c>
      <c r="AI213" t="s">
        <v>34</v>
      </c>
      <c r="AJ213" s="4">
        <v>72.5</v>
      </c>
      <c r="AK213" s="1">
        <f>Table1[[#This Row],[avg_salary]]*1000</f>
        <v>72500</v>
      </c>
    </row>
    <row r="214" spans="1:37" x14ac:dyDescent="0.3">
      <c r="A214" s="1">
        <v>259</v>
      </c>
      <c r="B214" s="1" t="s">
        <v>264</v>
      </c>
      <c r="C214" s="1" t="s">
        <v>905</v>
      </c>
      <c r="D214" s="4">
        <v>44000</v>
      </c>
      <c r="E214" s="4">
        <v>78000</v>
      </c>
      <c r="F214" s="4">
        <v>61000</v>
      </c>
      <c r="G214" s="1" t="s">
        <v>1179</v>
      </c>
      <c r="H214" t="s">
        <v>1437</v>
      </c>
      <c r="I214" s="1" t="s">
        <v>1180</v>
      </c>
      <c r="J214" s="1" t="s">
        <v>780</v>
      </c>
      <c r="K214" s="1" t="s">
        <v>42</v>
      </c>
      <c r="L214" s="1" t="s">
        <v>43</v>
      </c>
      <c r="M214" s="1" t="s">
        <v>44</v>
      </c>
      <c r="N214" s="1" t="s">
        <v>45</v>
      </c>
      <c r="O214" s="1" t="s">
        <v>46</v>
      </c>
      <c r="P214">
        <v>53</v>
      </c>
      <c r="Q214" s="1">
        <v>1</v>
      </c>
      <c r="R214" s="1">
        <v>0</v>
      </c>
      <c r="S214" s="1">
        <v>0</v>
      </c>
      <c r="T214" s="1">
        <v>1</v>
      </c>
      <c r="U214" s="1">
        <v>1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 t="s">
        <v>88</v>
      </c>
      <c r="AH214" s="1" t="str">
        <f t="shared" si="3"/>
        <v>Jr</v>
      </c>
      <c r="AI214" t="s">
        <v>34</v>
      </c>
      <c r="AJ214" s="4">
        <v>61</v>
      </c>
      <c r="AK214" s="1">
        <f>Table1[[#This Row],[avg_salary]]*1000</f>
        <v>61000</v>
      </c>
    </row>
    <row r="215" spans="1:37" x14ac:dyDescent="0.3">
      <c r="A215" s="1">
        <v>260</v>
      </c>
      <c r="B215" s="1" t="s">
        <v>336</v>
      </c>
      <c r="C215" s="1" t="s">
        <v>908</v>
      </c>
      <c r="D215" s="4">
        <v>85000</v>
      </c>
      <c r="E215" s="4">
        <v>134000</v>
      </c>
      <c r="F215" s="4">
        <v>109500</v>
      </c>
      <c r="G215" s="1" t="s">
        <v>1296</v>
      </c>
      <c r="H215" t="s">
        <v>1442</v>
      </c>
      <c r="I215" s="1" t="s">
        <v>1198</v>
      </c>
      <c r="J215" s="1" t="s">
        <v>781</v>
      </c>
      <c r="K215" s="1" t="s">
        <v>157</v>
      </c>
      <c r="L215" s="1" t="s">
        <v>158</v>
      </c>
      <c r="M215" s="1" t="s">
        <v>39</v>
      </c>
      <c r="N215" s="1" t="s">
        <v>337</v>
      </c>
      <c r="O215" s="1" t="s">
        <v>97</v>
      </c>
      <c r="P215">
        <v>36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1</v>
      </c>
      <c r="AC215" s="1">
        <v>1</v>
      </c>
      <c r="AD215" s="1">
        <v>0</v>
      </c>
      <c r="AE215" s="1">
        <v>0</v>
      </c>
      <c r="AF215" s="1">
        <v>0</v>
      </c>
      <c r="AG215" s="1" t="s">
        <v>295</v>
      </c>
      <c r="AH215" s="1" t="str">
        <f t="shared" si="3"/>
        <v>Jr</v>
      </c>
      <c r="AI215" t="s">
        <v>34</v>
      </c>
      <c r="AJ215" s="4">
        <v>109.5</v>
      </c>
      <c r="AK215" s="1">
        <f>Table1[[#This Row],[avg_salary]]*1000</f>
        <v>109500</v>
      </c>
    </row>
    <row r="216" spans="1:37" x14ac:dyDescent="0.3">
      <c r="A216" s="1">
        <v>262</v>
      </c>
      <c r="B216" s="1" t="s">
        <v>150</v>
      </c>
      <c r="C216" s="1" t="s">
        <v>907</v>
      </c>
      <c r="D216" s="4">
        <v>59000</v>
      </c>
      <c r="E216" s="4">
        <v>110000</v>
      </c>
      <c r="F216" s="4">
        <v>84500</v>
      </c>
      <c r="G216" s="1" t="s">
        <v>1195</v>
      </c>
      <c r="H216" t="s">
        <v>1441</v>
      </c>
      <c r="I216" s="1" t="s">
        <v>1196</v>
      </c>
      <c r="J216" s="1" t="s">
        <v>780</v>
      </c>
      <c r="K216" s="1" t="s">
        <v>73</v>
      </c>
      <c r="L216" s="1" t="s">
        <v>74</v>
      </c>
      <c r="M216" s="1" t="s">
        <v>54</v>
      </c>
      <c r="N216" s="1" t="s">
        <v>335</v>
      </c>
      <c r="O216" s="1" t="s">
        <v>91</v>
      </c>
      <c r="P216">
        <v>54</v>
      </c>
      <c r="Q216" s="1">
        <v>1</v>
      </c>
      <c r="R216" s="1">
        <v>1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 t="s">
        <v>98</v>
      </c>
      <c r="AH216" s="1" t="str">
        <f t="shared" si="3"/>
        <v>Jr</v>
      </c>
      <c r="AI216" t="s">
        <v>34</v>
      </c>
      <c r="AJ216" s="4">
        <v>84.5</v>
      </c>
      <c r="AK216" s="1">
        <f>Table1[[#This Row],[avg_salary]]*1000</f>
        <v>84500</v>
      </c>
    </row>
    <row r="217" spans="1:37" x14ac:dyDescent="0.3">
      <c r="A217" s="1">
        <v>263</v>
      </c>
      <c r="B217" s="1" t="s">
        <v>28</v>
      </c>
      <c r="C217" s="1" t="s">
        <v>801</v>
      </c>
      <c r="D217" s="4">
        <v>64000</v>
      </c>
      <c r="E217" s="4">
        <v>111000</v>
      </c>
      <c r="F217" s="4">
        <v>87500</v>
      </c>
      <c r="G217" s="1" t="s">
        <v>1203</v>
      </c>
      <c r="H217" t="s">
        <v>1444</v>
      </c>
      <c r="I217" s="1" t="s">
        <v>1204</v>
      </c>
      <c r="J217" s="1" t="s">
        <v>780</v>
      </c>
      <c r="K217" s="1" t="s">
        <v>53</v>
      </c>
      <c r="L217" s="1" t="s">
        <v>43</v>
      </c>
      <c r="M217" s="1" t="s">
        <v>121</v>
      </c>
      <c r="N217" s="1" t="s">
        <v>431</v>
      </c>
      <c r="O217" s="1" t="s">
        <v>120</v>
      </c>
      <c r="P217">
        <v>30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 t="s">
        <v>33</v>
      </c>
      <c r="AH217" s="1" t="str">
        <f t="shared" si="3"/>
        <v>Jr</v>
      </c>
      <c r="AI217" t="s">
        <v>72</v>
      </c>
      <c r="AJ217" s="4">
        <v>87.5</v>
      </c>
      <c r="AK217" s="1">
        <f>Table1[[#This Row],[avg_salary]]*1000</f>
        <v>87500</v>
      </c>
    </row>
    <row r="218" spans="1:37" x14ac:dyDescent="0.3">
      <c r="A218" s="1">
        <v>264</v>
      </c>
      <c r="B218" s="1" t="s">
        <v>86</v>
      </c>
      <c r="C218" s="1" t="s">
        <v>953</v>
      </c>
      <c r="D218" s="4">
        <v>65000</v>
      </c>
      <c r="E218" s="4">
        <v>120000</v>
      </c>
      <c r="F218" s="4">
        <v>92500</v>
      </c>
      <c r="G218" s="1" t="s">
        <v>1322</v>
      </c>
      <c r="H218" t="s">
        <v>1439</v>
      </c>
      <c r="I218" s="1" t="s">
        <v>1189</v>
      </c>
      <c r="J218" s="1" t="s">
        <v>781</v>
      </c>
      <c r="K218" s="1" t="s">
        <v>432</v>
      </c>
      <c r="L218" s="1" t="s">
        <v>95</v>
      </c>
      <c r="M218" s="1" t="s">
        <v>84</v>
      </c>
      <c r="N218" s="1" t="s">
        <v>433</v>
      </c>
      <c r="O218" s="1" t="s">
        <v>67</v>
      </c>
      <c r="P218">
        <v>53</v>
      </c>
      <c r="Q218" s="1">
        <v>1</v>
      </c>
      <c r="R218" s="1">
        <v>0</v>
      </c>
      <c r="S218" s="1">
        <v>0</v>
      </c>
      <c r="T218" s="1">
        <v>1</v>
      </c>
      <c r="U218" s="1">
        <v>1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 t="s">
        <v>88</v>
      </c>
      <c r="AH218" s="1" t="str">
        <f t="shared" si="3"/>
        <v>Jr</v>
      </c>
      <c r="AI218" t="s">
        <v>72</v>
      </c>
      <c r="AJ218" s="4">
        <v>92.5</v>
      </c>
      <c r="AK218" s="1">
        <f>Table1[[#This Row],[avg_salary]]*1000</f>
        <v>92500</v>
      </c>
    </row>
    <row r="219" spans="1:37" x14ac:dyDescent="0.3">
      <c r="A219" s="1">
        <v>265</v>
      </c>
      <c r="B219" s="1" t="s">
        <v>434</v>
      </c>
      <c r="C219" s="1" t="s">
        <v>954</v>
      </c>
      <c r="D219" s="4">
        <v>60000</v>
      </c>
      <c r="E219" s="4">
        <v>103000</v>
      </c>
      <c r="F219" s="4">
        <v>81500</v>
      </c>
      <c r="G219" s="1" t="s">
        <v>1263</v>
      </c>
      <c r="H219" t="s">
        <v>1440</v>
      </c>
      <c r="I219" s="1" t="s">
        <v>1192</v>
      </c>
      <c r="J219" s="1" t="s">
        <v>107</v>
      </c>
      <c r="K219" s="1" t="s">
        <v>246</v>
      </c>
      <c r="L219" s="1" t="s">
        <v>47</v>
      </c>
      <c r="M219" s="1" t="s">
        <v>58</v>
      </c>
      <c r="N219" s="1" t="s">
        <v>247</v>
      </c>
      <c r="O219" s="1" t="s">
        <v>81</v>
      </c>
      <c r="P219">
        <v>28</v>
      </c>
      <c r="Q219" s="1">
        <v>1</v>
      </c>
      <c r="R219" s="1">
        <v>1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 t="s">
        <v>33</v>
      </c>
      <c r="AH219" s="1" t="str">
        <f t="shared" si="3"/>
        <v>Jr</v>
      </c>
      <c r="AI219" t="s">
        <v>34</v>
      </c>
      <c r="AJ219" s="4">
        <v>81.5</v>
      </c>
      <c r="AK219" s="1">
        <f>Table1[[#This Row],[avg_salary]]*1000</f>
        <v>81500</v>
      </c>
    </row>
    <row r="220" spans="1:37" x14ac:dyDescent="0.3">
      <c r="A220" s="1">
        <v>266</v>
      </c>
      <c r="B220" s="1" t="s">
        <v>435</v>
      </c>
      <c r="C220" s="1" t="s">
        <v>955</v>
      </c>
      <c r="D220" s="4">
        <v>53000</v>
      </c>
      <c r="E220" s="4">
        <v>105000</v>
      </c>
      <c r="F220" s="4">
        <v>79000</v>
      </c>
      <c r="G220" s="1" t="s">
        <v>1323</v>
      </c>
      <c r="H220" t="s">
        <v>1450</v>
      </c>
      <c r="I220" s="1" t="s">
        <v>1228</v>
      </c>
      <c r="J220" s="1" t="s">
        <v>780</v>
      </c>
      <c r="K220" s="1" t="s">
        <v>436</v>
      </c>
      <c r="L220" s="1" t="s">
        <v>118</v>
      </c>
      <c r="M220" s="1" t="s">
        <v>54</v>
      </c>
      <c r="N220" s="1" t="s">
        <v>437</v>
      </c>
      <c r="O220" s="1" t="s">
        <v>168</v>
      </c>
      <c r="P220">
        <v>43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 t="s">
        <v>88</v>
      </c>
      <c r="AH220" s="1" t="str">
        <f t="shared" si="3"/>
        <v>Jr</v>
      </c>
      <c r="AI220" t="s">
        <v>34</v>
      </c>
      <c r="AJ220" s="4">
        <v>79</v>
      </c>
      <c r="AK220" s="1">
        <f>Table1[[#This Row],[avg_salary]]*1000</f>
        <v>79000</v>
      </c>
    </row>
    <row r="221" spans="1:37" x14ac:dyDescent="0.3">
      <c r="A221" s="1">
        <v>267</v>
      </c>
      <c r="B221" s="1" t="s">
        <v>163</v>
      </c>
      <c r="C221" s="1" t="s">
        <v>909</v>
      </c>
      <c r="D221" s="4">
        <v>124000</v>
      </c>
      <c r="E221" s="4">
        <v>204000</v>
      </c>
      <c r="F221" s="4">
        <v>164000</v>
      </c>
      <c r="G221" s="1" t="s">
        <v>1231</v>
      </c>
      <c r="H221" t="s">
        <v>1441</v>
      </c>
      <c r="I221" s="1" t="s">
        <v>1196</v>
      </c>
      <c r="J221" s="1" t="s">
        <v>780</v>
      </c>
      <c r="K221" s="1" t="s">
        <v>108</v>
      </c>
      <c r="L221" s="1" t="s">
        <v>109</v>
      </c>
      <c r="M221" s="1" t="s">
        <v>84</v>
      </c>
      <c r="N221" s="1" t="s">
        <v>338</v>
      </c>
      <c r="O221" s="1" t="s">
        <v>91</v>
      </c>
      <c r="P221">
        <v>29</v>
      </c>
      <c r="Q221" s="1">
        <v>1</v>
      </c>
      <c r="R221" s="1">
        <v>1</v>
      </c>
      <c r="S221" s="1">
        <v>1</v>
      </c>
      <c r="T221" s="1">
        <v>0</v>
      </c>
      <c r="U221" s="1">
        <v>1</v>
      </c>
      <c r="V221" s="1">
        <v>0</v>
      </c>
      <c r="W221" s="1">
        <v>0</v>
      </c>
      <c r="X221" s="1">
        <v>0</v>
      </c>
      <c r="Y221" s="1">
        <v>1</v>
      </c>
      <c r="Z221" s="1">
        <v>0</v>
      </c>
      <c r="AA221" s="1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 t="s">
        <v>33</v>
      </c>
      <c r="AH221" s="1" t="str">
        <f t="shared" si="3"/>
        <v>Sr</v>
      </c>
      <c r="AI221" t="s">
        <v>72</v>
      </c>
      <c r="AJ221" s="4">
        <v>164</v>
      </c>
      <c r="AK221" s="1">
        <f>Table1[[#This Row],[avg_salary]]*1000</f>
        <v>164000</v>
      </c>
    </row>
    <row r="222" spans="1:37" x14ac:dyDescent="0.3">
      <c r="A222" s="1">
        <v>268</v>
      </c>
      <c r="B222" s="1" t="s">
        <v>339</v>
      </c>
      <c r="C222" s="1" t="s">
        <v>910</v>
      </c>
      <c r="D222" s="4">
        <v>131000</v>
      </c>
      <c r="E222" s="4">
        <v>207000</v>
      </c>
      <c r="F222" s="4">
        <v>169000</v>
      </c>
      <c r="G222" s="1" t="s">
        <v>1297</v>
      </c>
      <c r="H222" t="s">
        <v>1439</v>
      </c>
      <c r="I222" s="1" t="s">
        <v>1189</v>
      </c>
      <c r="J222" s="1" t="s">
        <v>93</v>
      </c>
      <c r="K222" s="1" t="s">
        <v>89</v>
      </c>
      <c r="L222" s="1" t="s">
        <v>89</v>
      </c>
      <c r="M222" s="1" t="s">
        <v>84</v>
      </c>
      <c r="N222" s="1" t="s">
        <v>340</v>
      </c>
      <c r="O222" s="1" t="s">
        <v>67</v>
      </c>
      <c r="P222">
        <v>32</v>
      </c>
      <c r="Q222" s="1">
        <v>1</v>
      </c>
      <c r="R222" s="1">
        <v>1</v>
      </c>
      <c r="S222" s="1">
        <v>0</v>
      </c>
      <c r="T222" s="1">
        <v>1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 t="s">
        <v>33</v>
      </c>
      <c r="AH222" s="1" t="str">
        <f t="shared" si="3"/>
        <v>Sr</v>
      </c>
      <c r="AI222" t="s">
        <v>72</v>
      </c>
      <c r="AJ222" s="4">
        <v>169</v>
      </c>
      <c r="AK222" s="1">
        <f>Table1[[#This Row],[avg_salary]]*1000</f>
        <v>169000</v>
      </c>
    </row>
    <row r="223" spans="1:37" x14ac:dyDescent="0.3">
      <c r="A223" s="1">
        <v>269</v>
      </c>
      <c r="B223" s="1" t="s">
        <v>148</v>
      </c>
      <c r="C223" s="1" t="s">
        <v>911</v>
      </c>
      <c r="D223" s="4">
        <v>110000</v>
      </c>
      <c r="E223" s="4">
        <v>174000</v>
      </c>
      <c r="F223" s="4">
        <v>142000</v>
      </c>
      <c r="G223" s="1" t="s">
        <v>1298</v>
      </c>
      <c r="H223" t="s">
        <v>1439</v>
      </c>
      <c r="I223" s="1" t="s">
        <v>1189</v>
      </c>
      <c r="J223" s="1" t="s">
        <v>781</v>
      </c>
      <c r="K223" s="1" t="s">
        <v>138</v>
      </c>
      <c r="L223" s="1" t="s">
        <v>139</v>
      </c>
      <c r="M223" s="1" t="s">
        <v>39</v>
      </c>
      <c r="N223" s="1" t="s">
        <v>140</v>
      </c>
      <c r="O223" s="1" t="s">
        <v>67</v>
      </c>
      <c r="P223">
        <v>43</v>
      </c>
      <c r="Q223" s="1">
        <v>1</v>
      </c>
      <c r="R223" s="1">
        <v>1</v>
      </c>
      <c r="S223" s="1">
        <v>1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0</v>
      </c>
      <c r="AG223" s="1" t="s">
        <v>33</v>
      </c>
      <c r="AH223" s="1" t="str">
        <f t="shared" si="3"/>
        <v>Sr</v>
      </c>
      <c r="AI223" t="s">
        <v>72</v>
      </c>
      <c r="AJ223" s="4">
        <v>142</v>
      </c>
      <c r="AK223" s="1">
        <f>Table1[[#This Row],[avg_salary]]*1000</f>
        <v>142000</v>
      </c>
    </row>
    <row r="224" spans="1:37" x14ac:dyDescent="0.3">
      <c r="A224" s="1">
        <v>270</v>
      </c>
      <c r="B224" s="1" t="s">
        <v>86</v>
      </c>
      <c r="C224" s="1" t="s">
        <v>956</v>
      </c>
      <c r="D224" s="4">
        <v>33000</v>
      </c>
      <c r="E224" s="4">
        <v>62000</v>
      </c>
      <c r="F224" s="4">
        <v>47500</v>
      </c>
      <c r="G224" s="1" t="s">
        <v>1324</v>
      </c>
      <c r="H224" t="s">
        <v>1439</v>
      </c>
      <c r="I224" s="1" t="s">
        <v>1189</v>
      </c>
      <c r="J224" s="1" t="s">
        <v>107</v>
      </c>
      <c r="K224" s="1" t="s">
        <v>438</v>
      </c>
      <c r="L224" s="1" t="s">
        <v>316</v>
      </c>
      <c r="M224" s="1" t="s">
        <v>30</v>
      </c>
      <c r="N224" s="1" t="s">
        <v>439</v>
      </c>
      <c r="O224" s="1" t="s">
        <v>67</v>
      </c>
      <c r="P224">
        <v>60</v>
      </c>
      <c r="Q224" s="1">
        <v>0</v>
      </c>
      <c r="R224" s="1">
        <v>0</v>
      </c>
      <c r="S224" s="1">
        <v>0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 t="s">
        <v>88</v>
      </c>
      <c r="AH224" s="1" t="str">
        <f t="shared" si="3"/>
        <v>Jr</v>
      </c>
      <c r="AI224" t="s">
        <v>34</v>
      </c>
      <c r="AJ224" s="4">
        <v>47.5</v>
      </c>
      <c r="AK224" s="1">
        <f>Table1[[#This Row],[avg_salary]]*1000</f>
        <v>47500</v>
      </c>
    </row>
    <row r="225" spans="1:37" x14ac:dyDescent="0.3">
      <c r="A225" s="1">
        <v>273</v>
      </c>
      <c r="B225" s="1" t="s">
        <v>341</v>
      </c>
      <c r="C225" s="1" t="s">
        <v>912</v>
      </c>
      <c r="D225" s="4">
        <v>52000</v>
      </c>
      <c r="E225" s="4">
        <v>101000</v>
      </c>
      <c r="F225" s="4">
        <v>76500</v>
      </c>
      <c r="G225" s="1" t="s">
        <v>1231</v>
      </c>
      <c r="H225" t="s">
        <v>1441</v>
      </c>
      <c r="I225" s="1" t="s">
        <v>1196</v>
      </c>
      <c r="J225" s="1" t="s">
        <v>781</v>
      </c>
      <c r="K225" s="1" t="s">
        <v>89</v>
      </c>
      <c r="L225" s="1" t="s">
        <v>89</v>
      </c>
      <c r="M225" s="1" t="s">
        <v>84</v>
      </c>
      <c r="N225" s="1" t="s">
        <v>90</v>
      </c>
      <c r="O225" s="1" t="s">
        <v>91</v>
      </c>
      <c r="P225">
        <v>24</v>
      </c>
      <c r="Q225" s="1">
        <v>0</v>
      </c>
      <c r="R225" s="1">
        <v>0</v>
      </c>
      <c r="S225" s="1">
        <v>0</v>
      </c>
      <c r="T225" s="1">
        <v>1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 t="s">
        <v>71</v>
      </c>
      <c r="AH225" s="1" t="str">
        <f t="shared" si="3"/>
        <v>Jr</v>
      </c>
      <c r="AI225" t="s">
        <v>72</v>
      </c>
      <c r="AJ225" s="4">
        <v>76.5</v>
      </c>
      <c r="AK225" s="1">
        <f>Table1[[#This Row],[avg_salary]]*1000</f>
        <v>76500</v>
      </c>
    </row>
    <row r="226" spans="1:37" x14ac:dyDescent="0.3">
      <c r="A226" s="1">
        <v>274</v>
      </c>
      <c r="B226" s="1" t="s">
        <v>86</v>
      </c>
      <c r="C226" s="1" t="s">
        <v>957</v>
      </c>
      <c r="D226" s="4">
        <v>48000</v>
      </c>
      <c r="E226" s="4">
        <v>90000</v>
      </c>
      <c r="F226" s="4">
        <v>69000</v>
      </c>
      <c r="G226" s="1" t="s">
        <v>1200</v>
      </c>
      <c r="H226" t="s">
        <v>1439</v>
      </c>
      <c r="I226" s="1" t="s">
        <v>1189</v>
      </c>
      <c r="J226" s="1" t="s">
        <v>780</v>
      </c>
      <c r="K226" s="1" t="s">
        <v>103</v>
      </c>
      <c r="L226" s="1" t="s">
        <v>74</v>
      </c>
      <c r="M226" s="1" t="s">
        <v>54</v>
      </c>
      <c r="N226" s="1" t="s">
        <v>440</v>
      </c>
      <c r="O226" s="1" t="s">
        <v>67</v>
      </c>
      <c r="P226">
        <v>32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</v>
      </c>
      <c r="AC226" s="1">
        <v>1</v>
      </c>
      <c r="AD226" s="1">
        <v>0</v>
      </c>
      <c r="AE226" s="1">
        <v>0</v>
      </c>
      <c r="AF226" s="1">
        <v>0</v>
      </c>
      <c r="AG226" s="1" t="s">
        <v>88</v>
      </c>
      <c r="AH226" s="1" t="str">
        <f t="shared" si="3"/>
        <v>Jr</v>
      </c>
      <c r="AI226" t="s">
        <v>34</v>
      </c>
      <c r="AJ226" s="4">
        <v>69</v>
      </c>
      <c r="AK226" s="1">
        <f>Table1[[#This Row],[avg_salary]]*1000</f>
        <v>69000</v>
      </c>
    </row>
    <row r="227" spans="1:37" x14ac:dyDescent="0.3">
      <c r="A227" s="1">
        <v>275</v>
      </c>
      <c r="B227" s="1" t="s">
        <v>86</v>
      </c>
      <c r="C227" s="1" t="s">
        <v>958</v>
      </c>
      <c r="D227" s="4">
        <v>34000</v>
      </c>
      <c r="E227" s="4">
        <v>64000</v>
      </c>
      <c r="F227" s="4">
        <v>49000</v>
      </c>
      <c r="G227" s="1" t="s">
        <v>1325</v>
      </c>
      <c r="H227" t="s">
        <v>1465</v>
      </c>
      <c r="I227" s="1" t="s">
        <v>1326</v>
      </c>
      <c r="J227" s="1" t="s">
        <v>780</v>
      </c>
      <c r="K227" s="1" t="s">
        <v>145</v>
      </c>
      <c r="L227" s="1" t="s">
        <v>74</v>
      </c>
      <c r="M227" s="1" t="s">
        <v>30</v>
      </c>
      <c r="N227" s="1" t="s">
        <v>441</v>
      </c>
      <c r="O227" s="1" t="s">
        <v>0</v>
      </c>
      <c r="P227">
        <v>35</v>
      </c>
      <c r="Q227" s="1">
        <v>1</v>
      </c>
      <c r="R227" s="1">
        <v>0</v>
      </c>
      <c r="S227" s="1">
        <v>0</v>
      </c>
      <c r="T227" s="1">
        <v>1</v>
      </c>
      <c r="U227" s="1">
        <v>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 t="s">
        <v>88</v>
      </c>
      <c r="AH227" s="1" t="str">
        <f t="shared" si="3"/>
        <v>Jr</v>
      </c>
      <c r="AI227" t="s">
        <v>34</v>
      </c>
      <c r="AJ227" s="4">
        <v>49</v>
      </c>
      <c r="AK227" s="1">
        <f>Table1[[#This Row],[avg_salary]]*1000</f>
        <v>49000</v>
      </c>
    </row>
    <row r="228" spans="1:37" x14ac:dyDescent="0.3">
      <c r="A228" s="1">
        <v>276</v>
      </c>
      <c r="B228" s="1" t="s">
        <v>344</v>
      </c>
      <c r="C228" s="1" t="s">
        <v>914</v>
      </c>
      <c r="D228" s="4">
        <v>132000</v>
      </c>
      <c r="E228" s="4">
        <v>211000</v>
      </c>
      <c r="F228" s="4">
        <v>171500</v>
      </c>
      <c r="G228" s="1" t="s">
        <v>1188</v>
      </c>
      <c r="H228" t="s">
        <v>1439</v>
      </c>
      <c r="I228" s="1" t="s">
        <v>1189</v>
      </c>
      <c r="J228" s="1" t="s">
        <v>781</v>
      </c>
      <c r="K228" s="1" t="s">
        <v>145</v>
      </c>
      <c r="L228" s="1" t="s">
        <v>74</v>
      </c>
      <c r="M228" s="1" t="s">
        <v>84</v>
      </c>
      <c r="N228" s="1" t="s">
        <v>345</v>
      </c>
      <c r="O228" s="1" t="s">
        <v>67</v>
      </c>
      <c r="P228">
        <v>34</v>
      </c>
      <c r="Q228" s="1">
        <v>1</v>
      </c>
      <c r="R228" s="1">
        <v>0</v>
      </c>
      <c r="S228" s="1">
        <v>1</v>
      </c>
      <c r="T228" s="1">
        <v>0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 t="s">
        <v>33</v>
      </c>
      <c r="AH228" s="1" t="str">
        <f t="shared" si="3"/>
        <v>Sr</v>
      </c>
      <c r="AI228" t="s">
        <v>34</v>
      </c>
      <c r="AJ228" s="4">
        <v>171.5</v>
      </c>
      <c r="AK228" s="1">
        <f>Table1[[#This Row],[avg_salary]]*1000</f>
        <v>171500</v>
      </c>
    </row>
    <row r="229" spans="1:37" x14ac:dyDescent="0.3">
      <c r="A229" s="1">
        <v>277</v>
      </c>
      <c r="B229" s="1" t="s">
        <v>342</v>
      </c>
      <c r="C229" s="1" t="s">
        <v>913</v>
      </c>
      <c r="D229" s="4">
        <v>81000</v>
      </c>
      <c r="E229" s="4">
        <v>133000</v>
      </c>
      <c r="F229" s="4">
        <v>107000</v>
      </c>
      <c r="G229" s="1" t="s">
        <v>1299</v>
      </c>
      <c r="H229" t="s">
        <v>1436</v>
      </c>
      <c r="I229" s="1" t="s">
        <v>1178</v>
      </c>
      <c r="J229" s="1" t="s">
        <v>780</v>
      </c>
      <c r="K229" s="1" t="s">
        <v>108</v>
      </c>
      <c r="L229" s="1" t="s">
        <v>109</v>
      </c>
      <c r="M229" s="1" t="s">
        <v>50</v>
      </c>
      <c r="N229" s="1" t="s">
        <v>343</v>
      </c>
      <c r="O229" s="1" t="s">
        <v>41</v>
      </c>
      <c r="P229">
        <v>44</v>
      </c>
      <c r="Q229" s="1">
        <v>1</v>
      </c>
      <c r="R229" s="1">
        <v>0</v>
      </c>
      <c r="S229" s="1">
        <v>0</v>
      </c>
      <c r="T229" s="1">
        <v>1</v>
      </c>
      <c r="U229" s="1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 t="s">
        <v>33</v>
      </c>
      <c r="AH229" s="1" t="str">
        <f t="shared" si="3"/>
        <v>Jr</v>
      </c>
      <c r="AI229" t="s">
        <v>34</v>
      </c>
      <c r="AJ229" s="4">
        <v>107</v>
      </c>
      <c r="AK229" s="1">
        <f>Table1[[#This Row],[avg_salary]]*1000</f>
        <v>107000</v>
      </c>
    </row>
    <row r="230" spans="1:37" x14ac:dyDescent="0.3">
      <c r="A230" s="1">
        <v>278</v>
      </c>
      <c r="B230" s="1" t="s">
        <v>442</v>
      </c>
      <c r="C230" s="1" t="s">
        <v>932</v>
      </c>
      <c r="D230" s="4">
        <v>42000</v>
      </c>
      <c r="E230" s="4">
        <v>76000</v>
      </c>
      <c r="F230" s="4">
        <v>59000</v>
      </c>
      <c r="G230" s="1" t="s">
        <v>1327</v>
      </c>
      <c r="H230" t="s">
        <v>1442</v>
      </c>
      <c r="I230" s="1" t="s">
        <v>1198</v>
      </c>
      <c r="J230" s="1" t="s">
        <v>780</v>
      </c>
      <c r="K230" s="1" t="s">
        <v>103</v>
      </c>
      <c r="L230" s="1" t="s">
        <v>74</v>
      </c>
      <c r="M230" s="1" t="s">
        <v>54</v>
      </c>
      <c r="N230" s="1" t="s">
        <v>443</v>
      </c>
      <c r="O230" s="1" t="s">
        <v>97</v>
      </c>
      <c r="P230">
        <v>24</v>
      </c>
      <c r="Q230" s="1">
        <v>0</v>
      </c>
      <c r="R230" s="1">
        <v>0</v>
      </c>
      <c r="S230" s="1">
        <v>0</v>
      </c>
      <c r="T230" s="1">
        <v>1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 t="s">
        <v>88</v>
      </c>
      <c r="AH230" s="1" t="str">
        <f t="shared" si="3"/>
        <v>Jr</v>
      </c>
      <c r="AI230" t="s">
        <v>34</v>
      </c>
      <c r="AJ230" s="4">
        <v>59</v>
      </c>
      <c r="AK230" s="1">
        <f>Table1[[#This Row],[avg_salary]]*1000</f>
        <v>59000</v>
      </c>
    </row>
    <row r="231" spans="1:37" x14ac:dyDescent="0.3">
      <c r="A231" s="1">
        <v>281</v>
      </c>
      <c r="B231" s="1" t="s">
        <v>28</v>
      </c>
      <c r="C231" s="1" t="s">
        <v>959</v>
      </c>
      <c r="D231" s="4">
        <v>66000</v>
      </c>
      <c r="E231" s="4">
        <v>111000</v>
      </c>
      <c r="F231" s="4">
        <v>88500</v>
      </c>
      <c r="G231" s="1" t="s">
        <v>1247</v>
      </c>
      <c r="H231" t="s">
        <v>1455</v>
      </c>
      <c r="I231" s="1" t="s">
        <v>1248</v>
      </c>
      <c r="J231" s="1" t="s">
        <v>780</v>
      </c>
      <c r="K231" s="1" t="s">
        <v>143</v>
      </c>
      <c r="L231" s="1" t="s">
        <v>74</v>
      </c>
      <c r="M231" s="1" t="s">
        <v>65</v>
      </c>
      <c r="N231" s="1" t="s">
        <v>444</v>
      </c>
      <c r="O231" s="1" t="s">
        <v>207</v>
      </c>
      <c r="P231">
        <v>28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 t="s">
        <v>33</v>
      </c>
      <c r="AH231" s="1" t="str">
        <f t="shared" si="3"/>
        <v>Jr</v>
      </c>
      <c r="AI231" t="s">
        <v>34</v>
      </c>
      <c r="AJ231" s="4">
        <v>88.5</v>
      </c>
      <c r="AK231" s="1">
        <f>Table1[[#This Row],[avg_salary]]*1000</f>
        <v>88500</v>
      </c>
    </row>
    <row r="232" spans="1:37" x14ac:dyDescent="0.3">
      <c r="A232" s="1">
        <v>282</v>
      </c>
      <c r="B232" s="1" t="s">
        <v>346</v>
      </c>
      <c r="C232" s="1" t="s">
        <v>915</v>
      </c>
      <c r="D232" s="4">
        <v>74000</v>
      </c>
      <c r="E232" s="4">
        <v>140000</v>
      </c>
      <c r="F232" s="4">
        <v>107000</v>
      </c>
      <c r="G232" s="1" t="s">
        <v>1292</v>
      </c>
      <c r="H232" t="s">
        <v>1462</v>
      </c>
      <c r="I232" s="1" t="s">
        <v>1293</v>
      </c>
      <c r="J232" s="1" t="s">
        <v>107</v>
      </c>
      <c r="K232" s="1" t="s">
        <v>315</v>
      </c>
      <c r="L232" s="1" t="s">
        <v>316</v>
      </c>
      <c r="M232" s="1" t="s">
        <v>54</v>
      </c>
      <c r="N232" s="1" t="s">
        <v>317</v>
      </c>
      <c r="O232" s="1" t="s">
        <v>318</v>
      </c>
      <c r="P232">
        <v>46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 t="s">
        <v>98</v>
      </c>
      <c r="AH232" s="1" t="str">
        <f t="shared" si="3"/>
        <v>Jr</v>
      </c>
      <c r="AI232" t="s">
        <v>34</v>
      </c>
      <c r="AJ232" s="4">
        <v>107</v>
      </c>
      <c r="AK232" s="1">
        <f>Table1[[#This Row],[avg_salary]]*1000</f>
        <v>107000</v>
      </c>
    </row>
    <row r="233" spans="1:37" x14ac:dyDescent="0.3">
      <c r="A233" s="1">
        <v>284</v>
      </c>
      <c r="B233" s="1" t="s">
        <v>125</v>
      </c>
      <c r="C233" s="1" t="s">
        <v>807</v>
      </c>
      <c r="D233" s="4">
        <v>63000</v>
      </c>
      <c r="E233" s="4">
        <v>110000</v>
      </c>
      <c r="F233" s="4">
        <v>86500</v>
      </c>
      <c r="G233" s="1" t="s">
        <v>1195</v>
      </c>
      <c r="H233" t="s">
        <v>1441</v>
      </c>
      <c r="I233" s="1" t="s">
        <v>1196</v>
      </c>
      <c r="J233" s="1" t="s">
        <v>781</v>
      </c>
      <c r="K233" s="1" t="s">
        <v>89</v>
      </c>
      <c r="L233" s="1" t="s">
        <v>89</v>
      </c>
      <c r="M233" s="1" t="s">
        <v>84</v>
      </c>
      <c r="N233" s="1" t="s">
        <v>126</v>
      </c>
      <c r="O233" s="1" t="s">
        <v>91</v>
      </c>
      <c r="P233">
        <v>45</v>
      </c>
      <c r="Q233" s="1">
        <v>1</v>
      </c>
      <c r="R233" s="1">
        <v>0</v>
      </c>
      <c r="S233" s="1">
        <v>1</v>
      </c>
      <c r="T233" s="1">
        <v>1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 t="s">
        <v>33</v>
      </c>
      <c r="AH233" s="1" t="str">
        <f t="shared" si="3"/>
        <v>Jr</v>
      </c>
      <c r="AI233" t="s">
        <v>72</v>
      </c>
      <c r="AJ233" s="4">
        <v>86.5</v>
      </c>
      <c r="AK233" s="1">
        <f>Table1[[#This Row],[avg_salary]]*1000</f>
        <v>86500</v>
      </c>
    </row>
    <row r="234" spans="1:37" x14ac:dyDescent="0.3">
      <c r="A234" s="1">
        <v>285</v>
      </c>
      <c r="B234" s="1" t="s">
        <v>28</v>
      </c>
      <c r="C234" s="1" t="s">
        <v>805</v>
      </c>
      <c r="D234" s="4">
        <v>63000</v>
      </c>
      <c r="E234" s="4">
        <v>105000</v>
      </c>
      <c r="F234" s="4">
        <v>84000</v>
      </c>
      <c r="G234" s="1" t="s">
        <v>1205</v>
      </c>
      <c r="H234" t="s">
        <v>1445</v>
      </c>
      <c r="I234" s="1" t="s">
        <v>1206</v>
      </c>
      <c r="J234" s="1" t="s">
        <v>107</v>
      </c>
      <c r="K234" s="1" t="s">
        <v>117</v>
      </c>
      <c r="L234" s="1" t="s">
        <v>118</v>
      </c>
      <c r="M234" s="1" t="s">
        <v>121</v>
      </c>
      <c r="N234" s="1" t="s">
        <v>122</v>
      </c>
      <c r="O234" s="1" t="s">
        <v>123</v>
      </c>
      <c r="P234">
        <v>23</v>
      </c>
      <c r="Q234" s="1">
        <v>1</v>
      </c>
      <c r="R234" s="1">
        <v>0</v>
      </c>
      <c r="S234" s="1">
        <v>0</v>
      </c>
      <c r="T234" s="1">
        <v>1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 t="s">
        <v>33</v>
      </c>
      <c r="AH234" s="1" t="str">
        <f t="shared" si="3"/>
        <v>Jr</v>
      </c>
      <c r="AI234" t="s">
        <v>34</v>
      </c>
      <c r="AJ234" s="4">
        <v>84</v>
      </c>
      <c r="AK234" s="1">
        <f>Table1[[#This Row],[avg_salary]]*1000</f>
        <v>84000</v>
      </c>
    </row>
    <row r="235" spans="1:37" x14ac:dyDescent="0.3">
      <c r="A235" s="1">
        <v>288</v>
      </c>
      <c r="B235" s="1" t="s">
        <v>445</v>
      </c>
      <c r="C235" s="1" t="s">
        <v>960</v>
      </c>
      <c r="D235" s="4">
        <v>91000</v>
      </c>
      <c r="E235" s="4">
        <v>138000</v>
      </c>
      <c r="F235" s="4">
        <v>114500</v>
      </c>
      <c r="G235" s="1" t="s">
        <v>1183</v>
      </c>
      <c r="H235" t="s">
        <v>1183</v>
      </c>
      <c r="I235" s="1" t="s">
        <v>1184</v>
      </c>
      <c r="J235" s="1" t="s">
        <v>780</v>
      </c>
      <c r="K235" s="1" t="s">
        <v>64</v>
      </c>
      <c r="L235" s="1" t="s">
        <v>43</v>
      </c>
      <c r="M235" s="1" t="s">
        <v>30</v>
      </c>
      <c r="N235" s="1" t="s">
        <v>446</v>
      </c>
      <c r="O235" s="1" t="s">
        <v>56</v>
      </c>
      <c r="P235">
        <v>26</v>
      </c>
      <c r="Q235" s="1">
        <v>1</v>
      </c>
      <c r="R235" s="1">
        <v>0</v>
      </c>
      <c r="S235" s="1">
        <v>0</v>
      </c>
      <c r="T235" s="1">
        <v>1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1">
        <v>0</v>
      </c>
      <c r="AG235" s="1" t="s">
        <v>208</v>
      </c>
      <c r="AH235" s="1" t="str">
        <f t="shared" si="3"/>
        <v>Sr</v>
      </c>
      <c r="AI235" t="s">
        <v>34</v>
      </c>
      <c r="AJ235" s="4">
        <v>114.5</v>
      </c>
      <c r="AK235" s="1">
        <f>Table1[[#This Row],[avg_salary]]*1000</f>
        <v>114500</v>
      </c>
    </row>
    <row r="236" spans="1:37" x14ac:dyDescent="0.3">
      <c r="A236" s="1">
        <v>289</v>
      </c>
      <c r="B236" s="1" t="s">
        <v>347</v>
      </c>
      <c r="C236" s="1" t="s">
        <v>916</v>
      </c>
      <c r="D236" s="4">
        <v>100000</v>
      </c>
      <c r="E236" s="4">
        <v>190000</v>
      </c>
      <c r="F236" s="4">
        <v>145000</v>
      </c>
      <c r="G236" s="1" t="s">
        <v>1221</v>
      </c>
      <c r="H236" t="s">
        <v>1441</v>
      </c>
      <c r="I236" s="1" t="s">
        <v>1196</v>
      </c>
      <c r="J236" s="1" t="s">
        <v>780</v>
      </c>
      <c r="K236" s="1" t="s">
        <v>89</v>
      </c>
      <c r="L236" s="1" t="s">
        <v>89</v>
      </c>
      <c r="M236" s="1" t="s">
        <v>58</v>
      </c>
      <c r="N236" s="1" t="s">
        <v>348</v>
      </c>
      <c r="O236" s="1" t="s">
        <v>91</v>
      </c>
      <c r="P236">
        <v>30</v>
      </c>
      <c r="Q236" s="1">
        <v>1</v>
      </c>
      <c r="R236" s="1">
        <v>0</v>
      </c>
      <c r="S236" s="1">
        <v>0</v>
      </c>
      <c r="T236" s="1">
        <v>1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 t="s">
        <v>71</v>
      </c>
      <c r="AH236" s="1" t="str">
        <f t="shared" si="3"/>
        <v>Sr</v>
      </c>
      <c r="AI236" t="s">
        <v>72</v>
      </c>
      <c r="AJ236" s="4">
        <v>145</v>
      </c>
      <c r="AK236" s="1">
        <f>Table1[[#This Row],[avg_salary]]*1000</f>
        <v>145000</v>
      </c>
    </row>
    <row r="237" spans="1:37" x14ac:dyDescent="0.3">
      <c r="A237" s="1">
        <v>290</v>
      </c>
      <c r="B237" s="1" t="s">
        <v>150</v>
      </c>
      <c r="C237" s="1" t="s">
        <v>961</v>
      </c>
      <c r="D237" s="4">
        <v>62000</v>
      </c>
      <c r="E237" s="4">
        <v>114000</v>
      </c>
      <c r="F237" s="4">
        <v>88000</v>
      </c>
      <c r="G237" s="1" t="s">
        <v>1328</v>
      </c>
      <c r="H237" t="s">
        <v>1463</v>
      </c>
      <c r="I237" s="1" t="s">
        <v>1295</v>
      </c>
      <c r="J237" s="1" t="s">
        <v>781</v>
      </c>
      <c r="K237" s="1" t="s">
        <v>73</v>
      </c>
      <c r="L237" s="1" t="s">
        <v>74</v>
      </c>
      <c r="M237" s="1" t="s">
        <v>44</v>
      </c>
      <c r="N237" s="1" t="s">
        <v>447</v>
      </c>
      <c r="O237" s="1" t="s">
        <v>331</v>
      </c>
      <c r="P237">
        <v>24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 t="s">
        <v>98</v>
      </c>
      <c r="AH237" s="1" t="str">
        <f t="shared" si="3"/>
        <v>Jr</v>
      </c>
      <c r="AI237" t="s">
        <v>72</v>
      </c>
      <c r="AJ237" s="4">
        <v>88</v>
      </c>
      <c r="AK237" s="1">
        <f>Table1[[#This Row],[avg_salary]]*1000</f>
        <v>88000</v>
      </c>
    </row>
    <row r="238" spans="1:37" x14ac:dyDescent="0.3">
      <c r="A238" s="1">
        <v>291</v>
      </c>
      <c r="B238" s="1" t="s">
        <v>448</v>
      </c>
      <c r="C238" s="1" t="s">
        <v>962</v>
      </c>
      <c r="D238" s="4">
        <v>71000</v>
      </c>
      <c r="E238" s="4">
        <v>129000</v>
      </c>
      <c r="F238" s="4">
        <v>100000</v>
      </c>
      <c r="G238" s="1" t="s">
        <v>1203</v>
      </c>
      <c r="H238" t="s">
        <v>1444</v>
      </c>
      <c r="I238" s="1" t="s">
        <v>1204</v>
      </c>
      <c r="J238" s="1" t="s">
        <v>780</v>
      </c>
      <c r="K238" s="1" t="s">
        <v>73</v>
      </c>
      <c r="L238" s="1" t="s">
        <v>74</v>
      </c>
      <c r="M238" s="1" t="s">
        <v>44</v>
      </c>
      <c r="N238" s="1" t="s">
        <v>449</v>
      </c>
      <c r="O238" s="1" t="s">
        <v>120</v>
      </c>
      <c r="P238">
        <v>51</v>
      </c>
      <c r="Q238" s="1">
        <v>1</v>
      </c>
      <c r="R238" s="1">
        <v>1</v>
      </c>
      <c r="S238" s="1">
        <v>1</v>
      </c>
      <c r="T238" s="1">
        <v>0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 t="s">
        <v>98</v>
      </c>
      <c r="AH238" s="1" t="str">
        <f t="shared" si="3"/>
        <v>Jr</v>
      </c>
      <c r="AI238" t="s">
        <v>72</v>
      </c>
      <c r="AJ238" s="4">
        <v>100</v>
      </c>
      <c r="AK238" s="1">
        <f>Table1[[#This Row],[avg_salary]]*1000</f>
        <v>100000</v>
      </c>
    </row>
    <row r="239" spans="1:37" x14ac:dyDescent="0.3">
      <c r="A239" s="1">
        <v>292</v>
      </c>
      <c r="B239" s="1" t="s">
        <v>264</v>
      </c>
      <c r="C239" s="1" t="s">
        <v>917</v>
      </c>
      <c r="D239" s="4">
        <v>43000</v>
      </c>
      <c r="E239" s="4">
        <v>80000</v>
      </c>
      <c r="F239" s="4">
        <v>61500</v>
      </c>
      <c r="G239" s="1" t="s">
        <v>1207</v>
      </c>
      <c r="H239" t="s">
        <v>1440</v>
      </c>
      <c r="I239" s="1" t="s">
        <v>1192</v>
      </c>
      <c r="J239" s="1" t="s">
        <v>107</v>
      </c>
      <c r="K239" s="1" t="s">
        <v>323</v>
      </c>
      <c r="L239" s="1" t="s">
        <v>255</v>
      </c>
      <c r="M239" s="1" t="s">
        <v>65</v>
      </c>
      <c r="N239" s="1" t="s">
        <v>349</v>
      </c>
      <c r="O239" s="1" t="s">
        <v>81</v>
      </c>
      <c r="P239">
        <v>51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1</v>
      </c>
      <c r="AC239" s="1">
        <v>1</v>
      </c>
      <c r="AD239" s="1">
        <v>0</v>
      </c>
      <c r="AE239" s="1">
        <v>0</v>
      </c>
      <c r="AF239" s="1">
        <v>0</v>
      </c>
      <c r="AG239" s="1" t="s">
        <v>88</v>
      </c>
      <c r="AH239" s="1" t="str">
        <f t="shared" si="3"/>
        <v>Jr</v>
      </c>
      <c r="AI239" t="s">
        <v>34</v>
      </c>
      <c r="AJ239" s="4">
        <v>61.5</v>
      </c>
      <c r="AK239" s="1">
        <f>Table1[[#This Row],[avg_salary]]*1000</f>
        <v>61500</v>
      </c>
    </row>
    <row r="240" spans="1:37" x14ac:dyDescent="0.3">
      <c r="A240" s="1">
        <v>293</v>
      </c>
      <c r="B240" s="1" t="s">
        <v>28</v>
      </c>
      <c r="C240" s="1" t="s">
        <v>963</v>
      </c>
      <c r="D240" s="4">
        <v>74000</v>
      </c>
      <c r="E240" s="4">
        <v>119000</v>
      </c>
      <c r="F240" s="4">
        <v>96500</v>
      </c>
      <c r="G240" s="1" t="s">
        <v>1329</v>
      </c>
      <c r="H240" t="s">
        <v>1446</v>
      </c>
      <c r="I240" s="1" t="s">
        <v>1209</v>
      </c>
      <c r="J240" s="1" t="s">
        <v>781</v>
      </c>
      <c r="K240" s="1" t="s">
        <v>53</v>
      </c>
      <c r="L240" s="1" t="s">
        <v>43</v>
      </c>
      <c r="M240" s="1" t="s">
        <v>58</v>
      </c>
      <c r="N240" s="1" t="s">
        <v>450</v>
      </c>
      <c r="O240" s="1" t="s">
        <v>128</v>
      </c>
      <c r="P240">
        <v>58</v>
      </c>
      <c r="Q240" s="1">
        <v>1</v>
      </c>
      <c r="R240" s="1">
        <v>1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 t="s">
        <v>33</v>
      </c>
      <c r="AH240" s="1" t="str">
        <f t="shared" si="3"/>
        <v>Jr</v>
      </c>
      <c r="AI240" t="s">
        <v>72</v>
      </c>
      <c r="AJ240" s="4">
        <v>96.5</v>
      </c>
      <c r="AK240" s="1">
        <f>Table1[[#This Row],[avg_salary]]*1000</f>
        <v>96500</v>
      </c>
    </row>
    <row r="241" spans="1:37" x14ac:dyDescent="0.3">
      <c r="A241" s="1">
        <v>295</v>
      </c>
      <c r="B241" s="1" t="s">
        <v>451</v>
      </c>
      <c r="C241" s="1" t="s">
        <v>964</v>
      </c>
      <c r="D241" s="4">
        <v>55000</v>
      </c>
      <c r="E241" s="4">
        <v>97000</v>
      </c>
      <c r="F241" s="4">
        <v>76000</v>
      </c>
      <c r="G241" s="1" t="s">
        <v>1280</v>
      </c>
      <c r="H241" t="s">
        <v>1461</v>
      </c>
      <c r="I241" s="1" t="s">
        <v>1281</v>
      </c>
      <c r="J241" s="1" t="s">
        <v>780</v>
      </c>
      <c r="K241" s="1" t="s">
        <v>64</v>
      </c>
      <c r="L241" s="1" t="s">
        <v>43</v>
      </c>
      <c r="M241" s="1" t="s">
        <v>54</v>
      </c>
      <c r="N241" s="1" t="s">
        <v>452</v>
      </c>
      <c r="O241" s="1" t="s">
        <v>279</v>
      </c>
      <c r="P241">
        <v>49</v>
      </c>
      <c r="Q241" s="1">
        <v>1</v>
      </c>
      <c r="R241" s="1">
        <v>0</v>
      </c>
      <c r="S241" s="1">
        <v>0</v>
      </c>
      <c r="T241" s="1">
        <v>1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 t="s">
        <v>88</v>
      </c>
      <c r="AH241" s="1" t="str">
        <f t="shared" si="3"/>
        <v>Jr</v>
      </c>
      <c r="AI241" t="s">
        <v>34</v>
      </c>
      <c r="AJ241" s="4">
        <v>76</v>
      </c>
      <c r="AK241" s="1">
        <f>Table1[[#This Row],[avg_salary]]*1000</f>
        <v>76000</v>
      </c>
    </row>
    <row r="242" spans="1:37" x14ac:dyDescent="0.3">
      <c r="A242" s="1">
        <v>296</v>
      </c>
      <c r="B242" s="1" t="s">
        <v>28</v>
      </c>
      <c r="C242" s="1" t="s">
        <v>1412</v>
      </c>
      <c r="D242" s="4">
        <v>15000</v>
      </c>
      <c r="E242" s="4">
        <v>16000</v>
      </c>
      <c r="F242" s="4">
        <v>15500</v>
      </c>
      <c r="G242" s="1" t="s">
        <v>1330</v>
      </c>
      <c r="H242" t="s">
        <v>1183</v>
      </c>
      <c r="I242" s="1" t="s">
        <v>1184</v>
      </c>
      <c r="J242" s="1" t="s">
        <v>780</v>
      </c>
      <c r="K242" s="1" t="s">
        <v>79</v>
      </c>
      <c r="L242" s="1" t="s">
        <v>43</v>
      </c>
      <c r="M242" s="1" t="s">
        <v>44</v>
      </c>
      <c r="N242" s="1" t="s">
        <v>453</v>
      </c>
      <c r="O242" s="1" t="s">
        <v>56</v>
      </c>
      <c r="P242">
        <v>18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 t="s">
        <v>33</v>
      </c>
      <c r="AH242" s="1" t="str">
        <f t="shared" si="3"/>
        <v>Jr</v>
      </c>
      <c r="AI242" t="s">
        <v>34</v>
      </c>
      <c r="AJ242" s="4">
        <v>15.5</v>
      </c>
      <c r="AK242" s="1">
        <f>Table1[[#This Row],[avg_salary]]*1000</f>
        <v>15500</v>
      </c>
    </row>
    <row r="243" spans="1:37" x14ac:dyDescent="0.3">
      <c r="A243" s="1">
        <v>299</v>
      </c>
      <c r="B243" s="1" t="s">
        <v>28</v>
      </c>
      <c r="C243" s="1" t="s">
        <v>965</v>
      </c>
      <c r="D243" s="4">
        <v>61000</v>
      </c>
      <c r="E243" s="4">
        <v>106000</v>
      </c>
      <c r="F243" s="4">
        <v>83500</v>
      </c>
      <c r="G243" s="1" t="s">
        <v>1331</v>
      </c>
      <c r="H243" t="s">
        <v>1438</v>
      </c>
      <c r="I243" s="1" t="s">
        <v>1186</v>
      </c>
      <c r="J243" s="1" t="s">
        <v>780</v>
      </c>
      <c r="K243" s="1" t="s">
        <v>53</v>
      </c>
      <c r="L243" s="1" t="s">
        <v>43</v>
      </c>
      <c r="M243" s="1" t="s">
        <v>54</v>
      </c>
      <c r="N243" s="1" t="s">
        <v>454</v>
      </c>
      <c r="O243" s="1" t="s">
        <v>60</v>
      </c>
      <c r="P243">
        <v>36</v>
      </c>
      <c r="Q243" s="1">
        <v>1</v>
      </c>
      <c r="R243" s="1">
        <v>0</v>
      </c>
      <c r="S243" s="1">
        <v>0</v>
      </c>
      <c r="T243" s="1">
        <v>1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 t="s">
        <v>33</v>
      </c>
      <c r="AH243" s="1" t="str">
        <f t="shared" si="3"/>
        <v>Jr</v>
      </c>
      <c r="AI243" t="s">
        <v>34</v>
      </c>
      <c r="AJ243" s="4">
        <v>83.5</v>
      </c>
      <c r="AK243" s="1">
        <f>Table1[[#This Row],[avg_salary]]*1000</f>
        <v>83500</v>
      </c>
    </row>
    <row r="244" spans="1:37" x14ac:dyDescent="0.3">
      <c r="A244" s="1">
        <v>300</v>
      </c>
      <c r="B244" s="1" t="s">
        <v>352</v>
      </c>
      <c r="C244" s="1" t="s">
        <v>918</v>
      </c>
      <c r="D244" s="4">
        <v>91000</v>
      </c>
      <c r="E244" s="4">
        <v>149000</v>
      </c>
      <c r="F244" s="4">
        <v>120000</v>
      </c>
      <c r="G244" s="1" t="s">
        <v>1301</v>
      </c>
      <c r="H244" t="s">
        <v>1457</v>
      </c>
      <c r="I244" s="1" t="s">
        <v>1266</v>
      </c>
      <c r="J244" s="1" t="s">
        <v>47</v>
      </c>
      <c r="K244" s="1" t="s">
        <v>353</v>
      </c>
      <c r="L244" s="1" t="s">
        <v>62</v>
      </c>
      <c r="M244" s="1" t="s">
        <v>30</v>
      </c>
      <c r="N244" s="1" t="s">
        <v>354</v>
      </c>
      <c r="O244" s="1" t="s">
        <v>249</v>
      </c>
      <c r="P244">
        <v>31</v>
      </c>
      <c r="Q244" s="1">
        <v>1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</v>
      </c>
      <c r="AC244" s="1">
        <v>1</v>
      </c>
      <c r="AD244" s="1">
        <v>0</v>
      </c>
      <c r="AE244" s="1">
        <v>0</v>
      </c>
      <c r="AF244" s="1">
        <v>0</v>
      </c>
      <c r="AG244" s="1" t="s">
        <v>33</v>
      </c>
      <c r="AH244" s="1" t="str">
        <f t="shared" si="3"/>
        <v>Sr</v>
      </c>
      <c r="AI244" t="s">
        <v>34</v>
      </c>
      <c r="AJ244" s="4">
        <v>120</v>
      </c>
      <c r="AK244" s="1">
        <f>Table1[[#This Row],[avg_salary]]*1000</f>
        <v>120000</v>
      </c>
    </row>
    <row r="245" spans="1:37" x14ac:dyDescent="0.3">
      <c r="A245" s="1">
        <v>302</v>
      </c>
      <c r="B245" s="1" t="s">
        <v>28</v>
      </c>
      <c r="C245" s="1" t="s">
        <v>966</v>
      </c>
      <c r="D245" s="4">
        <v>127000</v>
      </c>
      <c r="E245" s="4">
        <v>199000</v>
      </c>
      <c r="F245" s="4">
        <v>163000</v>
      </c>
      <c r="G245" s="1" t="s">
        <v>1297</v>
      </c>
      <c r="H245" t="s">
        <v>1439</v>
      </c>
      <c r="I245" s="1" t="s">
        <v>1189</v>
      </c>
      <c r="J245" s="1" t="s">
        <v>93</v>
      </c>
      <c r="K245" s="1" t="s">
        <v>89</v>
      </c>
      <c r="L245" s="1" t="s">
        <v>89</v>
      </c>
      <c r="M245" s="1" t="s">
        <v>84</v>
      </c>
      <c r="N245" s="1" t="s">
        <v>340</v>
      </c>
      <c r="O245" s="1" t="s">
        <v>67</v>
      </c>
      <c r="P245">
        <v>35</v>
      </c>
      <c r="Q245" s="1">
        <v>0</v>
      </c>
      <c r="R245" s="1">
        <v>0</v>
      </c>
      <c r="S245" s="1">
        <v>0</v>
      </c>
      <c r="T245" s="1">
        <v>1</v>
      </c>
      <c r="U245" s="1">
        <v>1</v>
      </c>
      <c r="V245" s="1">
        <v>1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 t="s">
        <v>33</v>
      </c>
      <c r="AH245" s="1" t="str">
        <f t="shared" si="3"/>
        <v>Sr</v>
      </c>
      <c r="AI245" t="s">
        <v>34</v>
      </c>
      <c r="AJ245" s="4">
        <v>163</v>
      </c>
      <c r="AK245" s="1">
        <f>Table1[[#This Row],[avg_salary]]*1000</f>
        <v>163000</v>
      </c>
    </row>
    <row r="246" spans="1:37" x14ac:dyDescent="0.3">
      <c r="A246" s="1">
        <v>305</v>
      </c>
      <c r="B246" s="1" t="s">
        <v>455</v>
      </c>
      <c r="C246" s="1" t="s">
        <v>967</v>
      </c>
      <c r="D246" s="4">
        <v>74000</v>
      </c>
      <c r="E246" s="4">
        <v>126000</v>
      </c>
      <c r="F246" s="4">
        <v>100000</v>
      </c>
      <c r="G246" s="1" t="s">
        <v>1332</v>
      </c>
      <c r="H246" t="s">
        <v>1466</v>
      </c>
      <c r="I246" s="1" t="s">
        <v>1333</v>
      </c>
      <c r="J246" s="1" t="s">
        <v>107</v>
      </c>
      <c r="K246" s="1" t="s">
        <v>108</v>
      </c>
      <c r="L246" s="1" t="s">
        <v>109</v>
      </c>
      <c r="M246" s="1" t="s">
        <v>54</v>
      </c>
      <c r="N246" s="1" t="s">
        <v>456</v>
      </c>
      <c r="O246" s="1" t="s">
        <v>457</v>
      </c>
      <c r="P246">
        <v>58</v>
      </c>
      <c r="Q246" s="1">
        <v>0</v>
      </c>
      <c r="R246" s="1">
        <v>0</v>
      </c>
      <c r="S246" s="1">
        <v>1</v>
      </c>
      <c r="T246" s="1">
        <v>0</v>
      </c>
      <c r="U246" s="1">
        <v>1</v>
      </c>
      <c r="V246" s="1">
        <v>1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 t="s">
        <v>88</v>
      </c>
      <c r="AH246" s="1" t="str">
        <f t="shared" si="3"/>
        <v>Jr</v>
      </c>
      <c r="AI246" t="s">
        <v>72</v>
      </c>
      <c r="AJ246" s="4">
        <v>100</v>
      </c>
      <c r="AK246" s="1">
        <f>Table1[[#This Row],[avg_salary]]*1000</f>
        <v>100000</v>
      </c>
    </row>
    <row r="247" spans="1:37" x14ac:dyDescent="0.3">
      <c r="A247" s="1">
        <v>306</v>
      </c>
      <c r="B247" s="1" t="s">
        <v>68</v>
      </c>
      <c r="C247" s="1" t="s">
        <v>968</v>
      </c>
      <c r="D247" s="4">
        <v>33000</v>
      </c>
      <c r="E247" s="4">
        <v>72000</v>
      </c>
      <c r="F247" s="4">
        <v>52500</v>
      </c>
      <c r="G247" s="1" t="s">
        <v>1276</v>
      </c>
      <c r="H247" t="s">
        <v>1460</v>
      </c>
      <c r="I247" s="1" t="s">
        <v>1277</v>
      </c>
      <c r="J247" s="1" t="s">
        <v>107</v>
      </c>
      <c r="K247" s="1" t="s">
        <v>438</v>
      </c>
      <c r="L247" s="1" t="s">
        <v>316</v>
      </c>
      <c r="M247" s="1" t="s">
        <v>54</v>
      </c>
      <c r="N247" s="1" t="s">
        <v>458</v>
      </c>
      <c r="O247" s="1" t="s">
        <v>268</v>
      </c>
      <c r="P247">
        <v>31</v>
      </c>
      <c r="Q247" s="1">
        <v>0</v>
      </c>
      <c r="R247" s="1">
        <v>0</v>
      </c>
      <c r="S247" s="1">
        <v>0</v>
      </c>
      <c r="T247" s="1">
        <v>1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 t="s">
        <v>71</v>
      </c>
      <c r="AH247" s="1" t="str">
        <f t="shared" si="3"/>
        <v>Jr</v>
      </c>
      <c r="AI247" t="s">
        <v>72</v>
      </c>
      <c r="AJ247" s="4">
        <v>52.5</v>
      </c>
      <c r="AK247" s="1">
        <f>Table1[[#This Row],[avg_salary]]*1000</f>
        <v>52500</v>
      </c>
    </row>
    <row r="248" spans="1:37" x14ac:dyDescent="0.3">
      <c r="A248" s="1">
        <v>307</v>
      </c>
      <c r="B248" s="1" t="s">
        <v>350</v>
      </c>
      <c r="C248" s="1" t="s">
        <v>1417</v>
      </c>
      <c r="D248" s="4">
        <v>35000</v>
      </c>
      <c r="E248" s="4">
        <v>49000</v>
      </c>
      <c r="F248" s="4">
        <v>42000</v>
      </c>
      <c r="G248" s="1" t="s">
        <v>1300</v>
      </c>
      <c r="H248" t="s">
        <v>1453</v>
      </c>
      <c r="I248" s="1" t="s">
        <v>1241</v>
      </c>
      <c r="J248" s="1" t="s">
        <v>107</v>
      </c>
      <c r="K248" s="1" t="s">
        <v>37</v>
      </c>
      <c r="L248" s="1" t="s">
        <v>38</v>
      </c>
      <c r="M248" s="1" t="s">
        <v>54</v>
      </c>
      <c r="N248" s="1" t="s">
        <v>351</v>
      </c>
      <c r="O248" s="1" t="s">
        <v>194</v>
      </c>
      <c r="P248">
        <v>37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 t="s">
        <v>71</v>
      </c>
      <c r="AH248" s="1" t="str">
        <f t="shared" si="3"/>
        <v>Jr</v>
      </c>
      <c r="AI248" t="s">
        <v>34</v>
      </c>
      <c r="AJ248" s="4">
        <v>42</v>
      </c>
      <c r="AK248" s="1">
        <f>Table1[[#This Row],[avg_salary]]*1000</f>
        <v>42000</v>
      </c>
    </row>
    <row r="249" spans="1:37" x14ac:dyDescent="0.3">
      <c r="A249" s="1">
        <v>308</v>
      </c>
      <c r="B249" s="1" t="s">
        <v>459</v>
      </c>
      <c r="C249" s="1" t="s">
        <v>969</v>
      </c>
      <c r="D249" s="4">
        <v>37000</v>
      </c>
      <c r="E249" s="4">
        <v>63000</v>
      </c>
      <c r="F249" s="4">
        <v>50000</v>
      </c>
      <c r="G249" s="1" t="s">
        <v>1223</v>
      </c>
      <c r="H249" t="s">
        <v>1449</v>
      </c>
      <c r="I249" s="1" t="s">
        <v>1224</v>
      </c>
      <c r="J249" s="1" t="s">
        <v>107</v>
      </c>
      <c r="K249" s="1" t="s">
        <v>37</v>
      </c>
      <c r="L249" s="1" t="s">
        <v>38</v>
      </c>
      <c r="M249" s="1" t="s">
        <v>54</v>
      </c>
      <c r="N249" s="1" t="s">
        <v>460</v>
      </c>
      <c r="O249" s="1" t="s">
        <v>162</v>
      </c>
      <c r="P249">
        <v>51</v>
      </c>
      <c r="Q249" s="1">
        <v>0</v>
      </c>
      <c r="R249" s="1">
        <v>0</v>
      </c>
      <c r="S249" s="1">
        <v>0</v>
      </c>
      <c r="T249" s="1">
        <v>1</v>
      </c>
      <c r="U249" s="1">
        <v>1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1</v>
      </c>
      <c r="AC249" s="1">
        <v>1</v>
      </c>
      <c r="AD249" s="1">
        <v>0</v>
      </c>
      <c r="AE249" s="1">
        <v>0</v>
      </c>
      <c r="AF249" s="1">
        <v>0</v>
      </c>
      <c r="AG249" s="1" t="s">
        <v>88</v>
      </c>
      <c r="AH249" s="1" t="str">
        <f t="shared" si="3"/>
        <v>Jr</v>
      </c>
      <c r="AI249" t="s">
        <v>34</v>
      </c>
      <c r="AJ249" s="4">
        <v>50</v>
      </c>
      <c r="AK249" s="1">
        <f>Table1[[#This Row],[avg_salary]]*1000</f>
        <v>50000</v>
      </c>
    </row>
    <row r="250" spans="1:37" x14ac:dyDescent="0.3">
      <c r="A250" s="1">
        <v>309</v>
      </c>
      <c r="B250" s="1" t="s">
        <v>461</v>
      </c>
      <c r="C250" s="1" t="s">
        <v>970</v>
      </c>
      <c r="D250" s="4">
        <v>67000</v>
      </c>
      <c r="E250" s="4">
        <v>119000</v>
      </c>
      <c r="F250" s="4">
        <v>93000</v>
      </c>
      <c r="G250" s="1" t="s">
        <v>1331</v>
      </c>
      <c r="H250" t="s">
        <v>1438</v>
      </c>
      <c r="I250" s="1" t="s">
        <v>1186</v>
      </c>
      <c r="J250" s="1" t="s">
        <v>780</v>
      </c>
      <c r="K250" s="1" t="s">
        <v>64</v>
      </c>
      <c r="L250" s="1" t="s">
        <v>43</v>
      </c>
      <c r="M250" s="1" t="s">
        <v>30</v>
      </c>
      <c r="N250" s="1" t="s">
        <v>462</v>
      </c>
      <c r="O250" s="1" t="s">
        <v>60</v>
      </c>
      <c r="P250">
        <v>60</v>
      </c>
      <c r="Q250" s="1">
        <v>1</v>
      </c>
      <c r="R250" s="1">
        <v>0</v>
      </c>
      <c r="S250" s="1">
        <v>1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1</v>
      </c>
      <c r="AB250" s="1">
        <v>1</v>
      </c>
      <c r="AC250" s="1">
        <v>1</v>
      </c>
      <c r="AD250" s="1">
        <v>0</v>
      </c>
      <c r="AE250" s="1">
        <v>0</v>
      </c>
      <c r="AF250" s="1">
        <v>0</v>
      </c>
      <c r="AG250" s="1" t="s">
        <v>98</v>
      </c>
      <c r="AH250" s="1" t="str">
        <f t="shared" si="3"/>
        <v>Jr</v>
      </c>
      <c r="AI250" t="s">
        <v>34</v>
      </c>
      <c r="AJ250" s="4">
        <v>93</v>
      </c>
      <c r="AK250" s="1">
        <f>Table1[[#This Row],[avg_salary]]*1000</f>
        <v>93000</v>
      </c>
    </row>
    <row r="251" spans="1:37" x14ac:dyDescent="0.3">
      <c r="A251" s="1">
        <v>310</v>
      </c>
      <c r="B251" s="1" t="s">
        <v>28</v>
      </c>
      <c r="C251" s="1" t="s">
        <v>971</v>
      </c>
      <c r="D251" s="4">
        <v>72000</v>
      </c>
      <c r="E251" s="4">
        <v>117000</v>
      </c>
      <c r="F251" s="4">
        <v>94500</v>
      </c>
      <c r="G251" s="1" t="s">
        <v>1238</v>
      </c>
      <c r="H251" t="s">
        <v>1450</v>
      </c>
      <c r="I251" s="1" t="s">
        <v>1228</v>
      </c>
      <c r="J251" s="1" t="s">
        <v>780</v>
      </c>
      <c r="K251" s="1" t="s">
        <v>114</v>
      </c>
      <c r="L251" s="1" t="s">
        <v>109</v>
      </c>
      <c r="M251" s="1" t="s">
        <v>39</v>
      </c>
      <c r="N251" s="1" t="s">
        <v>463</v>
      </c>
      <c r="O251" s="1" t="s">
        <v>168</v>
      </c>
      <c r="P251">
        <v>41</v>
      </c>
      <c r="Q251" s="1">
        <v>1</v>
      </c>
      <c r="R251" s="1">
        <v>0</v>
      </c>
      <c r="S251" s="1">
        <v>0</v>
      </c>
      <c r="T251" s="1">
        <v>0</v>
      </c>
      <c r="U251" s="1">
        <v>1</v>
      </c>
      <c r="V251" s="1">
        <v>1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 t="s">
        <v>33</v>
      </c>
      <c r="AH251" s="1" t="str">
        <f t="shared" si="3"/>
        <v>Jr</v>
      </c>
      <c r="AI251" t="s">
        <v>72</v>
      </c>
      <c r="AJ251" s="4">
        <v>94.5</v>
      </c>
      <c r="AK251" s="1">
        <f>Table1[[#This Row],[avg_salary]]*1000</f>
        <v>94500</v>
      </c>
    </row>
    <row r="252" spans="1:37" x14ac:dyDescent="0.3">
      <c r="A252" s="1">
        <v>311</v>
      </c>
      <c r="B252" s="1" t="s">
        <v>148</v>
      </c>
      <c r="C252" s="1" t="s">
        <v>920</v>
      </c>
      <c r="D252" s="4">
        <v>116000</v>
      </c>
      <c r="E252" s="4">
        <v>185000</v>
      </c>
      <c r="F252" s="4">
        <v>150500</v>
      </c>
      <c r="G252" s="1" t="s">
        <v>1200</v>
      </c>
      <c r="H252" t="s">
        <v>1439</v>
      </c>
      <c r="I252" s="1" t="s">
        <v>1189</v>
      </c>
      <c r="J252" s="1" t="s">
        <v>781</v>
      </c>
      <c r="K252" s="1" t="s">
        <v>145</v>
      </c>
      <c r="L252" s="1" t="s">
        <v>74</v>
      </c>
      <c r="M252" s="1" t="s">
        <v>39</v>
      </c>
      <c r="N252" s="1" t="s">
        <v>272</v>
      </c>
      <c r="O252" s="1" t="s">
        <v>67</v>
      </c>
      <c r="P252">
        <v>46</v>
      </c>
      <c r="Q252" s="1">
        <v>1</v>
      </c>
      <c r="R252" s="1">
        <v>1</v>
      </c>
      <c r="S252" s="1">
        <v>0</v>
      </c>
      <c r="T252" s="1">
        <v>0</v>
      </c>
      <c r="U252" s="1">
        <v>1</v>
      </c>
      <c r="V252" s="1">
        <v>1</v>
      </c>
      <c r="W252" s="1">
        <v>0</v>
      </c>
      <c r="X252" s="1">
        <v>0</v>
      </c>
      <c r="Y252" s="1">
        <v>1</v>
      </c>
      <c r="Z252" s="1">
        <v>1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 t="s">
        <v>33</v>
      </c>
      <c r="AH252" s="1" t="str">
        <f t="shared" si="3"/>
        <v>Sr</v>
      </c>
      <c r="AI252" t="s">
        <v>72</v>
      </c>
      <c r="AJ252" s="4">
        <v>150.5</v>
      </c>
      <c r="AK252" s="1">
        <f>Table1[[#This Row],[avg_salary]]*1000</f>
        <v>150500</v>
      </c>
    </row>
    <row r="253" spans="1:37" x14ac:dyDescent="0.3">
      <c r="A253" s="1">
        <v>312</v>
      </c>
      <c r="B253" s="1" t="s">
        <v>28</v>
      </c>
      <c r="C253" s="1" t="s">
        <v>972</v>
      </c>
      <c r="D253" s="4">
        <v>78000</v>
      </c>
      <c r="E253" s="4">
        <v>126000</v>
      </c>
      <c r="F253" s="4">
        <v>102000</v>
      </c>
      <c r="G253" s="1" t="s">
        <v>1334</v>
      </c>
      <c r="H253" t="s">
        <v>1458</v>
      </c>
      <c r="I253" s="1" t="s">
        <v>1271</v>
      </c>
      <c r="J253" s="1" t="s">
        <v>781</v>
      </c>
      <c r="K253" s="1" t="s">
        <v>108</v>
      </c>
      <c r="L253" s="1" t="s">
        <v>109</v>
      </c>
      <c r="M253" s="1" t="s">
        <v>130</v>
      </c>
      <c r="N253" s="1" t="s">
        <v>464</v>
      </c>
      <c r="O253" s="1" t="s">
        <v>259</v>
      </c>
      <c r="P253">
        <v>50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0</v>
      </c>
      <c r="X253" s="1">
        <v>0</v>
      </c>
      <c r="Y253" s="1">
        <v>1</v>
      </c>
      <c r="Z253" s="1">
        <v>0</v>
      </c>
      <c r="AA253" s="1">
        <v>1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 t="s">
        <v>33</v>
      </c>
      <c r="AH253" s="1" t="str">
        <f t="shared" si="3"/>
        <v>Jr</v>
      </c>
      <c r="AI253" t="s">
        <v>34</v>
      </c>
      <c r="AJ253" s="4">
        <v>102</v>
      </c>
      <c r="AK253" s="1">
        <f>Table1[[#This Row],[avg_salary]]*1000</f>
        <v>102000</v>
      </c>
    </row>
    <row r="254" spans="1:37" x14ac:dyDescent="0.3">
      <c r="A254" s="1">
        <v>313</v>
      </c>
      <c r="B254" s="1" t="s">
        <v>355</v>
      </c>
      <c r="C254" s="1" t="s">
        <v>919</v>
      </c>
      <c r="D254" s="4">
        <v>42000</v>
      </c>
      <c r="E254" s="4">
        <v>82000</v>
      </c>
      <c r="F254" s="4">
        <v>62000</v>
      </c>
      <c r="G254" s="1" t="s">
        <v>1195</v>
      </c>
      <c r="H254" t="s">
        <v>1441</v>
      </c>
      <c r="I254" s="1" t="s">
        <v>1196</v>
      </c>
      <c r="J254" s="1" t="s">
        <v>781</v>
      </c>
      <c r="K254" s="1" t="s">
        <v>89</v>
      </c>
      <c r="L254" s="1" t="s">
        <v>89</v>
      </c>
      <c r="M254" s="1" t="s">
        <v>44</v>
      </c>
      <c r="N254" s="1" t="s">
        <v>356</v>
      </c>
      <c r="O254" s="1" t="s">
        <v>91</v>
      </c>
      <c r="P254">
        <v>31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 t="s">
        <v>71</v>
      </c>
      <c r="AH254" s="1" t="str">
        <f t="shared" si="3"/>
        <v>Jr</v>
      </c>
      <c r="AI254" t="s">
        <v>72</v>
      </c>
      <c r="AJ254" s="4">
        <v>62</v>
      </c>
      <c r="AK254" s="1">
        <f>Table1[[#This Row],[avg_salary]]*1000</f>
        <v>62000</v>
      </c>
    </row>
    <row r="255" spans="1:37" x14ac:dyDescent="0.3">
      <c r="A255" s="1">
        <v>314</v>
      </c>
      <c r="B255" s="1" t="s">
        <v>357</v>
      </c>
      <c r="C255" s="1" t="s">
        <v>921</v>
      </c>
      <c r="D255" s="4">
        <v>59000</v>
      </c>
      <c r="E255" s="4">
        <v>116000</v>
      </c>
      <c r="F255" s="4">
        <v>87500</v>
      </c>
      <c r="G255" s="1" t="s">
        <v>1302</v>
      </c>
      <c r="H255" t="s">
        <v>1448</v>
      </c>
      <c r="I255" s="1" t="s">
        <v>1214</v>
      </c>
      <c r="J255" s="1" t="s">
        <v>780</v>
      </c>
      <c r="K255" s="1" t="s">
        <v>53</v>
      </c>
      <c r="L255" s="1" t="s">
        <v>43</v>
      </c>
      <c r="M255" s="1" t="s">
        <v>54</v>
      </c>
      <c r="N255" s="1" t="s">
        <v>358</v>
      </c>
      <c r="O255" s="1" t="s">
        <v>135</v>
      </c>
      <c r="P255">
        <v>53</v>
      </c>
      <c r="Q255" s="1">
        <v>0</v>
      </c>
      <c r="R255" s="1">
        <v>0</v>
      </c>
      <c r="S255" s="1">
        <v>0</v>
      </c>
      <c r="T255" s="1">
        <v>1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 t="s">
        <v>295</v>
      </c>
      <c r="AH255" s="1" t="str">
        <f t="shared" si="3"/>
        <v>Jr</v>
      </c>
      <c r="AI255" t="s">
        <v>72</v>
      </c>
      <c r="AJ255" s="4">
        <v>87.5</v>
      </c>
      <c r="AK255" s="1">
        <f>Table1[[#This Row],[avg_salary]]*1000</f>
        <v>87500</v>
      </c>
    </row>
    <row r="256" spans="1:37" x14ac:dyDescent="0.3">
      <c r="A256" s="1">
        <v>316</v>
      </c>
      <c r="B256" s="1" t="s">
        <v>132</v>
      </c>
      <c r="C256" s="1" t="s">
        <v>805</v>
      </c>
      <c r="D256" s="4">
        <v>63000</v>
      </c>
      <c r="E256" s="4">
        <v>105000</v>
      </c>
      <c r="F256" s="4">
        <v>84000</v>
      </c>
      <c r="G256" s="1" t="s">
        <v>1211</v>
      </c>
      <c r="H256" t="s">
        <v>1447</v>
      </c>
      <c r="I256" s="1" t="s">
        <v>1212</v>
      </c>
      <c r="J256" s="1" t="s">
        <v>781</v>
      </c>
      <c r="K256" s="1" t="s">
        <v>89</v>
      </c>
      <c r="L256" s="1" t="s">
        <v>89</v>
      </c>
      <c r="M256" s="1" t="s">
        <v>84</v>
      </c>
      <c r="N256" s="1" t="s">
        <v>126</v>
      </c>
      <c r="O256" s="1" t="s">
        <v>133</v>
      </c>
      <c r="P256">
        <v>25</v>
      </c>
      <c r="Q256" s="1">
        <v>0</v>
      </c>
      <c r="R256" s="1">
        <v>0</v>
      </c>
      <c r="S256" s="1">
        <v>1</v>
      </c>
      <c r="T256" s="1">
        <v>1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 t="s">
        <v>33</v>
      </c>
      <c r="AH256" s="1" t="str">
        <f t="shared" si="3"/>
        <v>Jr</v>
      </c>
      <c r="AI256" t="s">
        <v>34</v>
      </c>
      <c r="AJ256" s="4">
        <v>84</v>
      </c>
      <c r="AK256" s="1">
        <f>Table1[[#This Row],[avg_salary]]*1000</f>
        <v>84000</v>
      </c>
    </row>
    <row r="257" spans="1:37" x14ac:dyDescent="0.3">
      <c r="A257" s="1">
        <v>317</v>
      </c>
      <c r="B257" s="1" t="s">
        <v>28</v>
      </c>
      <c r="C257" s="1" t="s">
        <v>806</v>
      </c>
      <c r="D257" s="4">
        <v>109000</v>
      </c>
      <c r="E257" s="4">
        <v>177000</v>
      </c>
      <c r="F257" s="4">
        <v>143000</v>
      </c>
      <c r="G257" s="1" t="s">
        <v>1207</v>
      </c>
      <c r="H257" t="s">
        <v>1440</v>
      </c>
      <c r="I257" s="1" t="s">
        <v>1192</v>
      </c>
      <c r="J257" s="1" t="s">
        <v>780</v>
      </c>
      <c r="K257" s="1" t="s">
        <v>103</v>
      </c>
      <c r="L257" s="1" t="s">
        <v>74</v>
      </c>
      <c r="M257" s="1" t="s">
        <v>44</v>
      </c>
      <c r="N257" s="1" t="s">
        <v>124</v>
      </c>
      <c r="O257" s="1" t="s">
        <v>81</v>
      </c>
      <c r="P257">
        <v>46</v>
      </c>
      <c r="Q257" s="1">
        <v>1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1</v>
      </c>
      <c r="X257" s="1">
        <v>0</v>
      </c>
      <c r="Y257" s="1">
        <v>0</v>
      </c>
      <c r="Z257" s="1">
        <v>1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 t="s">
        <v>33</v>
      </c>
      <c r="AH257" s="1" t="str">
        <f t="shared" si="3"/>
        <v>Sr</v>
      </c>
      <c r="AI257" t="s">
        <v>34</v>
      </c>
      <c r="AJ257" s="4">
        <v>143</v>
      </c>
      <c r="AK257" s="1">
        <f>Table1[[#This Row],[avg_salary]]*1000</f>
        <v>143000</v>
      </c>
    </row>
    <row r="258" spans="1:37" x14ac:dyDescent="0.3">
      <c r="A258" s="1">
        <v>318</v>
      </c>
      <c r="B258" s="1" t="s">
        <v>465</v>
      </c>
      <c r="C258" s="1" t="s">
        <v>973</v>
      </c>
      <c r="D258" s="4">
        <v>116000</v>
      </c>
      <c r="E258" s="4">
        <v>194000</v>
      </c>
      <c r="F258" s="4">
        <v>155000</v>
      </c>
      <c r="G258" s="1" t="s">
        <v>1335</v>
      </c>
      <c r="H258" t="s">
        <v>1453</v>
      </c>
      <c r="I258" s="1" t="s">
        <v>1241</v>
      </c>
      <c r="J258" s="1" t="s">
        <v>780</v>
      </c>
      <c r="K258" s="1" t="s">
        <v>200</v>
      </c>
      <c r="L258" s="1" t="s">
        <v>43</v>
      </c>
      <c r="M258" s="1" t="s">
        <v>201</v>
      </c>
      <c r="N258" s="1" t="s">
        <v>202</v>
      </c>
      <c r="O258" s="1" t="s">
        <v>194</v>
      </c>
      <c r="P258">
        <v>19</v>
      </c>
      <c r="Q258" s="1">
        <v>1</v>
      </c>
      <c r="R258" s="1">
        <v>1</v>
      </c>
      <c r="S258" s="1">
        <v>1</v>
      </c>
      <c r="T258" s="1">
        <v>1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0</v>
      </c>
      <c r="AA258" s="1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 t="s">
        <v>33</v>
      </c>
      <c r="AH258" s="1" t="str">
        <f t="shared" ref="AH258:AH321" si="4">IF(VALUE(AJ258) &gt;= 114, "Sr", "Jr")</f>
        <v>Sr</v>
      </c>
      <c r="AI258" t="s">
        <v>34</v>
      </c>
      <c r="AJ258" s="4">
        <v>155</v>
      </c>
      <c r="AK258" s="1">
        <f>Table1[[#This Row],[avg_salary]]*1000</f>
        <v>155000</v>
      </c>
    </row>
    <row r="259" spans="1:37" x14ac:dyDescent="0.3">
      <c r="A259" s="1">
        <v>319</v>
      </c>
      <c r="B259" s="1" t="s">
        <v>150</v>
      </c>
      <c r="C259" s="1" t="s">
        <v>922</v>
      </c>
      <c r="D259" s="4">
        <v>48000</v>
      </c>
      <c r="E259" s="4">
        <v>95000</v>
      </c>
      <c r="F259" s="4">
        <v>71500</v>
      </c>
      <c r="G259" s="1" t="s">
        <v>1303</v>
      </c>
      <c r="H259" t="s">
        <v>1437</v>
      </c>
      <c r="I259" s="1" t="s">
        <v>1180</v>
      </c>
      <c r="J259" s="1" t="s">
        <v>781</v>
      </c>
      <c r="K259" s="1" t="s">
        <v>53</v>
      </c>
      <c r="L259" s="1" t="s">
        <v>43</v>
      </c>
      <c r="M259" s="1" t="s">
        <v>65</v>
      </c>
      <c r="N259" s="1" t="s">
        <v>359</v>
      </c>
      <c r="O259" s="1" t="s">
        <v>46</v>
      </c>
      <c r="P259">
        <v>43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 t="s">
        <v>98</v>
      </c>
      <c r="AH259" s="1" t="str">
        <f t="shared" si="4"/>
        <v>Jr</v>
      </c>
      <c r="AI259" t="s">
        <v>34</v>
      </c>
      <c r="AJ259" s="4">
        <v>71.5</v>
      </c>
      <c r="AK259" s="1">
        <f>Table1[[#This Row],[avg_salary]]*1000</f>
        <v>71500</v>
      </c>
    </row>
    <row r="260" spans="1:37" x14ac:dyDescent="0.3">
      <c r="A260" s="1">
        <v>320</v>
      </c>
      <c r="B260" s="1" t="s">
        <v>28</v>
      </c>
      <c r="C260" s="1" t="s">
        <v>974</v>
      </c>
      <c r="D260" s="4">
        <v>83000</v>
      </c>
      <c r="E260" s="4">
        <v>133000</v>
      </c>
      <c r="F260" s="4">
        <v>108000</v>
      </c>
      <c r="G260" s="1" t="s">
        <v>1336</v>
      </c>
      <c r="H260" t="s">
        <v>1439</v>
      </c>
      <c r="I260" s="1" t="s">
        <v>1189</v>
      </c>
      <c r="J260" s="1" t="s">
        <v>780</v>
      </c>
      <c r="K260" s="1" t="s">
        <v>108</v>
      </c>
      <c r="L260" s="1" t="s">
        <v>109</v>
      </c>
      <c r="M260" s="1" t="s">
        <v>121</v>
      </c>
      <c r="N260" s="1" t="s">
        <v>466</v>
      </c>
      <c r="O260" s="1" t="s">
        <v>67</v>
      </c>
      <c r="P260">
        <v>32</v>
      </c>
      <c r="Q260" s="1">
        <v>1</v>
      </c>
      <c r="R260" s="1">
        <v>1</v>
      </c>
      <c r="S260" s="1">
        <v>0</v>
      </c>
      <c r="T260" s="1">
        <v>0</v>
      </c>
      <c r="U260" s="1">
        <v>1</v>
      </c>
      <c r="V260" s="1">
        <v>1</v>
      </c>
      <c r="W260" s="1">
        <v>0</v>
      </c>
      <c r="X260" s="1">
        <v>1</v>
      </c>
      <c r="Y260" s="1">
        <v>1</v>
      </c>
      <c r="Z260" s="1">
        <v>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 t="s">
        <v>33</v>
      </c>
      <c r="AH260" s="1" t="str">
        <f t="shared" si="4"/>
        <v>Jr</v>
      </c>
      <c r="AI260" t="s">
        <v>34</v>
      </c>
      <c r="AJ260" s="4">
        <v>108</v>
      </c>
      <c r="AK260" s="1">
        <f>Table1[[#This Row],[avg_salary]]*1000</f>
        <v>108000</v>
      </c>
    </row>
    <row r="261" spans="1:37" x14ac:dyDescent="0.3">
      <c r="A261" s="1">
        <v>322</v>
      </c>
      <c r="B261" s="1" t="s">
        <v>362</v>
      </c>
      <c r="C261" s="1" t="s">
        <v>924</v>
      </c>
      <c r="D261" s="4">
        <v>105000</v>
      </c>
      <c r="E261" s="4">
        <v>198000</v>
      </c>
      <c r="F261" s="4">
        <v>151500</v>
      </c>
      <c r="G261" s="1" t="s">
        <v>1235</v>
      </c>
      <c r="H261" t="s">
        <v>1439</v>
      </c>
      <c r="I261" s="1" t="s">
        <v>1189</v>
      </c>
      <c r="J261" s="1" t="s">
        <v>781</v>
      </c>
      <c r="K261" s="1" t="s">
        <v>89</v>
      </c>
      <c r="L261" s="1" t="s">
        <v>89</v>
      </c>
      <c r="M261" s="1" t="s">
        <v>84</v>
      </c>
      <c r="N261" s="1" t="s">
        <v>90</v>
      </c>
      <c r="O261" s="1" t="s">
        <v>67</v>
      </c>
      <c r="P261">
        <v>20</v>
      </c>
      <c r="Q261" s="1">
        <v>0</v>
      </c>
      <c r="R261" s="1">
        <v>0</v>
      </c>
      <c r="S261" s="1">
        <v>0</v>
      </c>
      <c r="T261" s="1">
        <v>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 t="s">
        <v>71</v>
      </c>
      <c r="AH261" s="1" t="str">
        <f t="shared" si="4"/>
        <v>Sr</v>
      </c>
      <c r="AI261" t="s">
        <v>34</v>
      </c>
      <c r="AJ261" s="4">
        <v>151.5</v>
      </c>
      <c r="AK261" s="1">
        <f>Table1[[#This Row],[avg_salary]]*1000</f>
        <v>151500</v>
      </c>
    </row>
    <row r="262" spans="1:37" x14ac:dyDescent="0.3">
      <c r="A262" s="1">
        <v>323</v>
      </c>
      <c r="B262" s="1" t="s">
        <v>360</v>
      </c>
      <c r="C262" s="1" t="s">
        <v>923</v>
      </c>
      <c r="D262" s="4">
        <v>31000</v>
      </c>
      <c r="E262" s="4">
        <v>72000</v>
      </c>
      <c r="F262" s="4">
        <v>51500</v>
      </c>
      <c r="G262" s="1" t="s">
        <v>1304</v>
      </c>
      <c r="H262" t="s">
        <v>1439</v>
      </c>
      <c r="I262" s="1" t="s">
        <v>1189</v>
      </c>
      <c r="J262" s="1" t="s">
        <v>93</v>
      </c>
      <c r="K262" s="1" t="s">
        <v>83</v>
      </c>
      <c r="L262" s="1" t="s">
        <v>77</v>
      </c>
      <c r="M262" s="1" t="s">
        <v>44</v>
      </c>
      <c r="N262" s="1" t="s">
        <v>361</v>
      </c>
      <c r="O262" s="1" t="s">
        <v>67</v>
      </c>
      <c r="P262">
        <v>59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 t="s">
        <v>88</v>
      </c>
      <c r="AH262" s="1" t="str">
        <f t="shared" si="4"/>
        <v>Jr</v>
      </c>
      <c r="AI262" t="s">
        <v>34</v>
      </c>
      <c r="AJ262" s="4">
        <v>51.5</v>
      </c>
      <c r="AK262" s="1">
        <f>Table1[[#This Row],[avg_salary]]*1000</f>
        <v>51500</v>
      </c>
    </row>
    <row r="263" spans="1:37" x14ac:dyDescent="0.3">
      <c r="A263" s="1">
        <v>324</v>
      </c>
      <c r="B263" s="1" t="s">
        <v>364</v>
      </c>
      <c r="C263" s="1" t="s">
        <v>925</v>
      </c>
      <c r="D263" s="4">
        <v>98000</v>
      </c>
      <c r="E263" s="4">
        <v>182000</v>
      </c>
      <c r="F263" s="4">
        <v>140000</v>
      </c>
      <c r="G263" s="1" t="s">
        <v>1231</v>
      </c>
      <c r="H263" t="s">
        <v>1441</v>
      </c>
      <c r="I263" s="1" t="s">
        <v>1196</v>
      </c>
      <c r="J263" s="1" t="s">
        <v>781</v>
      </c>
      <c r="K263" s="1" t="s">
        <v>89</v>
      </c>
      <c r="L263" s="1" t="s">
        <v>89</v>
      </c>
      <c r="M263" s="1" t="s">
        <v>84</v>
      </c>
      <c r="N263" s="1" t="s">
        <v>90</v>
      </c>
      <c r="O263" s="1" t="s">
        <v>91</v>
      </c>
      <c r="P263">
        <v>43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 t="s">
        <v>71</v>
      </c>
      <c r="AH263" s="1" t="str">
        <f t="shared" si="4"/>
        <v>Sr</v>
      </c>
      <c r="AI263" t="s">
        <v>34</v>
      </c>
      <c r="AJ263" s="4">
        <v>140</v>
      </c>
      <c r="AK263" s="1">
        <f>Table1[[#This Row],[avg_salary]]*1000</f>
        <v>140000</v>
      </c>
    </row>
    <row r="264" spans="1:37" x14ac:dyDescent="0.3">
      <c r="A264" s="1">
        <v>325</v>
      </c>
      <c r="B264" s="1" t="s">
        <v>264</v>
      </c>
      <c r="C264" s="1" t="s">
        <v>853</v>
      </c>
      <c r="D264" s="4">
        <v>55000</v>
      </c>
      <c r="E264" s="4">
        <v>100000</v>
      </c>
      <c r="F264" s="4">
        <v>77500</v>
      </c>
      <c r="G264" s="1" t="s">
        <v>1305</v>
      </c>
      <c r="H264" t="s">
        <v>1442</v>
      </c>
      <c r="I264" s="1" t="s">
        <v>1198</v>
      </c>
      <c r="J264" s="1" t="s">
        <v>780</v>
      </c>
      <c r="K264" s="1" t="s">
        <v>143</v>
      </c>
      <c r="L264" s="1" t="s">
        <v>74</v>
      </c>
      <c r="M264" s="1" t="s">
        <v>54</v>
      </c>
      <c r="N264" s="1" t="s">
        <v>363</v>
      </c>
      <c r="O264" s="1" t="s">
        <v>97</v>
      </c>
      <c r="P264">
        <v>38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 t="s">
        <v>88</v>
      </c>
      <c r="AH264" s="1" t="str">
        <f t="shared" si="4"/>
        <v>Jr</v>
      </c>
      <c r="AI264" t="s">
        <v>34</v>
      </c>
      <c r="AJ264" s="4">
        <v>77.5</v>
      </c>
      <c r="AK264" s="1">
        <f>Table1[[#This Row],[avg_salary]]*1000</f>
        <v>77500</v>
      </c>
    </row>
    <row r="265" spans="1:37" x14ac:dyDescent="0.3">
      <c r="A265" s="1">
        <v>326</v>
      </c>
      <c r="B265" s="1" t="s">
        <v>467</v>
      </c>
      <c r="C265" s="1" t="s">
        <v>975</v>
      </c>
      <c r="D265" s="4">
        <v>45000</v>
      </c>
      <c r="E265" s="4">
        <v>82000</v>
      </c>
      <c r="F265" s="4">
        <v>63500</v>
      </c>
      <c r="G265" s="1" t="s">
        <v>1337</v>
      </c>
      <c r="H265" t="s">
        <v>1465</v>
      </c>
      <c r="I265" s="1" t="s">
        <v>1326</v>
      </c>
      <c r="J265" s="1" t="s">
        <v>780</v>
      </c>
      <c r="K265" s="1" t="s">
        <v>353</v>
      </c>
      <c r="L265" s="1" t="s">
        <v>62</v>
      </c>
      <c r="M265" s="1" t="s">
        <v>30</v>
      </c>
      <c r="N265" s="1" t="s">
        <v>468</v>
      </c>
      <c r="O265" s="1" t="s">
        <v>0</v>
      </c>
      <c r="P265">
        <v>54</v>
      </c>
      <c r="Q265" s="1">
        <v>0</v>
      </c>
      <c r="R265" s="1">
        <v>0</v>
      </c>
      <c r="S265" s="1">
        <v>0</v>
      </c>
      <c r="T265" s="1">
        <v>1</v>
      </c>
      <c r="U265" s="1">
        <v>1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 t="s">
        <v>88</v>
      </c>
      <c r="AH265" s="1" t="str">
        <f t="shared" si="4"/>
        <v>Jr</v>
      </c>
      <c r="AI265" t="s">
        <v>34</v>
      </c>
      <c r="AJ265" s="4">
        <v>63.5</v>
      </c>
      <c r="AK265" s="1">
        <f>Table1[[#This Row],[avg_salary]]*1000</f>
        <v>63500</v>
      </c>
    </row>
    <row r="266" spans="1:37" x14ac:dyDescent="0.3">
      <c r="A266" s="1">
        <v>328</v>
      </c>
      <c r="B266" s="1" t="s">
        <v>28</v>
      </c>
      <c r="C266" s="1" t="s">
        <v>976</v>
      </c>
      <c r="D266" s="4">
        <v>83000</v>
      </c>
      <c r="E266" s="4">
        <v>135000</v>
      </c>
      <c r="F266" s="4">
        <v>109000</v>
      </c>
      <c r="G266" s="1" t="s">
        <v>1200</v>
      </c>
      <c r="H266" t="s">
        <v>1439</v>
      </c>
      <c r="I266" s="1" t="s">
        <v>1189</v>
      </c>
      <c r="J266" s="1" t="s">
        <v>780</v>
      </c>
      <c r="K266" s="1" t="s">
        <v>143</v>
      </c>
      <c r="L266" s="1" t="s">
        <v>74</v>
      </c>
      <c r="M266" s="1" t="s">
        <v>153</v>
      </c>
      <c r="N266" s="1" t="s">
        <v>469</v>
      </c>
      <c r="O266" s="1" t="s">
        <v>67</v>
      </c>
      <c r="P266">
        <v>44</v>
      </c>
      <c r="Q266" s="1">
        <v>1</v>
      </c>
      <c r="R266" s="1">
        <v>0</v>
      </c>
      <c r="S266" s="1">
        <v>0</v>
      </c>
      <c r="T266" s="1">
        <v>0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 t="s">
        <v>33</v>
      </c>
      <c r="AH266" s="1" t="str">
        <f t="shared" si="4"/>
        <v>Jr</v>
      </c>
      <c r="AI266" t="s">
        <v>72</v>
      </c>
      <c r="AJ266" s="4">
        <v>109</v>
      </c>
      <c r="AK266" s="1">
        <f>Table1[[#This Row],[avg_salary]]*1000</f>
        <v>109000</v>
      </c>
    </row>
    <row r="267" spans="1:37" x14ac:dyDescent="0.3">
      <c r="A267" s="1">
        <v>330</v>
      </c>
      <c r="B267" s="1" t="s">
        <v>28</v>
      </c>
      <c r="C267" s="1" t="s">
        <v>977</v>
      </c>
      <c r="D267" s="4">
        <v>70000</v>
      </c>
      <c r="E267" s="4">
        <v>122000</v>
      </c>
      <c r="F267" s="4">
        <v>96000</v>
      </c>
      <c r="G267" s="1" t="s">
        <v>1338</v>
      </c>
      <c r="H267" t="s">
        <v>1463</v>
      </c>
      <c r="I267" s="1" t="s">
        <v>1295</v>
      </c>
      <c r="J267" s="1" t="s">
        <v>781</v>
      </c>
      <c r="K267" s="1" t="s">
        <v>29</v>
      </c>
      <c r="L267" s="1" t="s">
        <v>29</v>
      </c>
      <c r="M267" s="1" t="s">
        <v>50</v>
      </c>
      <c r="N267" s="1" t="s">
        <v>470</v>
      </c>
      <c r="O267" s="1" t="s">
        <v>331</v>
      </c>
      <c r="P267">
        <v>23</v>
      </c>
      <c r="Q267" s="1">
        <v>1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</v>
      </c>
      <c r="Y267" s="1">
        <v>0</v>
      </c>
      <c r="Z267" s="1">
        <v>1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 t="s">
        <v>33</v>
      </c>
      <c r="AH267" s="1" t="str">
        <f t="shared" si="4"/>
        <v>Jr</v>
      </c>
      <c r="AI267" t="s">
        <v>34</v>
      </c>
      <c r="AJ267" s="4">
        <v>96</v>
      </c>
      <c r="AK267" s="1">
        <f>Table1[[#This Row],[avg_salary]]*1000</f>
        <v>96000</v>
      </c>
    </row>
    <row r="268" spans="1:37" x14ac:dyDescent="0.3">
      <c r="A268" s="1">
        <v>331</v>
      </c>
      <c r="B268" s="1" t="s">
        <v>366</v>
      </c>
      <c r="C268" s="1" t="s">
        <v>1418</v>
      </c>
      <c r="D268" s="4">
        <v>200000</v>
      </c>
      <c r="E268" s="4">
        <v>250000</v>
      </c>
      <c r="F268" s="4">
        <v>225000</v>
      </c>
      <c r="G268" s="1" t="s">
        <v>1200</v>
      </c>
      <c r="H268" t="s">
        <v>1439</v>
      </c>
      <c r="I268" s="1" t="s">
        <v>1189</v>
      </c>
      <c r="J268" s="1" t="s">
        <v>780</v>
      </c>
      <c r="K268" s="1" t="s">
        <v>143</v>
      </c>
      <c r="L268" s="1" t="s">
        <v>74</v>
      </c>
      <c r="M268" s="1" t="s">
        <v>201</v>
      </c>
      <c r="N268" s="1" t="s">
        <v>367</v>
      </c>
      <c r="O268" s="1" t="s">
        <v>67</v>
      </c>
      <c r="P268">
        <v>51</v>
      </c>
      <c r="Q268" s="1">
        <v>1</v>
      </c>
      <c r="R268" s="1">
        <v>0</v>
      </c>
      <c r="S268" s="1">
        <v>1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 t="s">
        <v>33</v>
      </c>
      <c r="AH268" s="1" t="str">
        <f t="shared" si="4"/>
        <v>Sr</v>
      </c>
      <c r="AI268" t="s">
        <v>34</v>
      </c>
      <c r="AJ268" s="4">
        <v>225</v>
      </c>
      <c r="AK268" s="1">
        <f>Table1[[#This Row],[avg_salary]]*1000</f>
        <v>225000</v>
      </c>
    </row>
    <row r="269" spans="1:37" x14ac:dyDescent="0.3">
      <c r="A269" s="1">
        <v>332</v>
      </c>
      <c r="B269" s="1" t="s">
        <v>150</v>
      </c>
      <c r="C269" s="1" t="s">
        <v>978</v>
      </c>
      <c r="D269" s="4">
        <v>70000</v>
      </c>
      <c r="E269" s="4">
        <v>132000</v>
      </c>
      <c r="F269" s="4">
        <v>101000</v>
      </c>
      <c r="G269" s="1" t="s">
        <v>1339</v>
      </c>
      <c r="H269" t="s">
        <v>1439</v>
      </c>
      <c r="I269" s="1" t="s">
        <v>1189</v>
      </c>
      <c r="J269" s="1" t="s">
        <v>781</v>
      </c>
      <c r="K269" s="1" t="s">
        <v>378</v>
      </c>
      <c r="L269" s="1" t="s">
        <v>62</v>
      </c>
      <c r="M269" s="1" t="s">
        <v>50</v>
      </c>
      <c r="N269" s="1" t="s">
        <v>379</v>
      </c>
      <c r="O269" s="1" t="s">
        <v>67</v>
      </c>
      <c r="P269">
        <v>50</v>
      </c>
      <c r="Q269" s="1">
        <v>1</v>
      </c>
      <c r="R269" s="1">
        <v>0</v>
      </c>
      <c r="S269" s="1">
        <v>1</v>
      </c>
      <c r="T269" s="1">
        <v>1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 t="s">
        <v>98</v>
      </c>
      <c r="AH269" s="1" t="str">
        <f t="shared" si="4"/>
        <v>Jr</v>
      </c>
      <c r="AI269" t="s">
        <v>72</v>
      </c>
      <c r="AJ269" s="4">
        <v>101</v>
      </c>
      <c r="AK269" s="1">
        <f>Table1[[#This Row],[avg_salary]]*1000</f>
        <v>101000</v>
      </c>
    </row>
    <row r="270" spans="1:37" x14ac:dyDescent="0.3">
      <c r="A270" s="1">
        <v>333</v>
      </c>
      <c r="B270" s="1" t="s">
        <v>148</v>
      </c>
      <c r="C270" s="1" t="s">
        <v>926</v>
      </c>
      <c r="D270" s="4">
        <v>73000</v>
      </c>
      <c r="E270" s="4">
        <v>124000</v>
      </c>
      <c r="F270" s="4">
        <v>98500</v>
      </c>
      <c r="G270" s="1" t="s">
        <v>1306</v>
      </c>
      <c r="H270" t="s">
        <v>1442</v>
      </c>
      <c r="I270" s="1" t="s">
        <v>1198</v>
      </c>
      <c r="J270" s="1" t="s">
        <v>780</v>
      </c>
      <c r="K270" s="1" t="s">
        <v>108</v>
      </c>
      <c r="L270" s="1" t="s">
        <v>109</v>
      </c>
      <c r="M270" s="1" t="s">
        <v>121</v>
      </c>
      <c r="N270" s="1" t="s">
        <v>365</v>
      </c>
      <c r="O270" s="1" t="s">
        <v>97</v>
      </c>
      <c r="P270">
        <v>42</v>
      </c>
      <c r="Q270" s="1">
        <v>0</v>
      </c>
      <c r="R270" s="1">
        <v>0</v>
      </c>
      <c r="S270" s="1">
        <v>0</v>
      </c>
      <c r="T270" s="1">
        <v>1</v>
      </c>
      <c r="U270" s="1">
        <v>1</v>
      </c>
      <c r="V270" s="1">
        <v>1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 t="s">
        <v>33</v>
      </c>
      <c r="AH270" s="1" t="str">
        <f t="shared" si="4"/>
        <v>Jr</v>
      </c>
      <c r="AI270" t="s">
        <v>34</v>
      </c>
      <c r="AJ270" s="4">
        <v>98.5</v>
      </c>
      <c r="AK270" s="1">
        <f>Table1[[#This Row],[avg_salary]]*1000</f>
        <v>98500</v>
      </c>
    </row>
    <row r="271" spans="1:37" x14ac:dyDescent="0.3">
      <c r="A271" s="1">
        <v>334</v>
      </c>
      <c r="B271" s="1" t="s">
        <v>471</v>
      </c>
      <c r="C271" s="1" t="s">
        <v>979</v>
      </c>
      <c r="D271" s="4">
        <v>54000</v>
      </c>
      <c r="E271" s="4">
        <v>101000</v>
      </c>
      <c r="F271" s="4">
        <v>77500</v>
      </c>
      <c r="G271" s="1" t="s">
        <v>1340</v>
      </c>
      <c r="H271" t="s">
        <v>1467</v>
      </c>
      <c r="I271" s="1" t="s">
        <v>1341</v>
      </c>
      <c r="J271" s="1" t="s">
        <v>780</v>
      </c>
      <c r="K271" s="1" t="s">
        <v>170</v>
      </c>
      <c r="L271" s="1" t="s">
        <v>158</v>
      </c>
      <c r="M271" s="1" t="s">
        <v>58</v>
      </c>
      <c r="N271" s="1" t="s">
        <v>472</v>
      </c>
      <c r="O271" s="1" t="s">
        <v>473</v>
      </c>
      <c r="P271">
        <v>20</v>
      </c>
      <c r="Q271" s="1">
        <v>0</v>
      </c>
      <c r="R271" s="1">
        <v>0</v>
      </c>
      <c r="S271" s="1">
        <v>0</v>
      </c>
      <c r="T271" s="1">
        <v>1</v>
      </c>
      <c r="U271" s="1">
        <v>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 t="s">
        <v>98</v>
      </c>
      <c r="AH271" s="1" t="str">
        <f t="shared" si="4"/>
        <v>Jr</v>
      </c>
      <c r="AI271" t="s">
        <v>34</v>
      </c>
      <c r="AJ271" s="4">
        <v>77.5</v>
      </c>
      <c r="AK271" s="1">
        <f>Table1[[#This Row],[avg_salary]]*1000</f>
        <v>77500</v>
      </c>
    </row>
    <row r="272" spans="1:37" x14ac:dyDescent="0.3">
      <c r="A272" s="1">
        <v>335</v>
      </c>
      <c r="B272" s="1" t="s">
        <v>371</v>
      </c>
      <c r="C272" s="1" t="s">
        <v>927</v>
      </c>
      <c r="D272" s="4">
        <v>117000</v>
      </c>
      <c r="E272" s="4">
        <v>206000</v>
      </c>
      <c r="F272" s="4">
        <v>161500</v>
      </c>
      <c r="G272" s="1" t="s">
        <v>1231</v>
      </c>
      <c r="H272" t="s">
        <v>1441</v>
      </c>
      <c r="I272" s="1" t="s">
        <v>1196</v>
      </c>
      <c r="J272" s="1" t="s">
        <v>781</v>
      </c>
      <c r="K272" s="1" t="s">
        <v>89</v>
      </c>
      <c r="L272" s="1" t="s">
        <v>89</v>
      </c>
      <c r="M272" s="1" t="s">
        <v>84</v>
      </c>
      <c r="N272" s="1" t="s">
        <v>90</v>
      </c>
      <c r="O272" s="1" t="s">
        <v>91</v>
      </c>
      <c r="P272">
        <v>58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 t="s">
        <v>71</v>
      </c>
      <c r="AH272" s="1" t="str">
        <f t="shared" si="4"/>
        <v>Sr</v>
      </c>
      <c r="AI272" t="s">
        <v>34</v>
      </c>
      <c r="AJ272" s="4">
        <v>161.5</v>
      </c>
      <c r="AK272" s="1">
        <f>Table1[[#This Row],[avg_salary]]*1000</f>
        <v>161500</v>
      </c>
    </row>
    <row r="273" spans="1:37" x14ac:dyDescent="0.3">
      <c r="A273" s="1">
        <v>337</v>
      </c>
      <c r="B273" s="1" t="s">
        <v>368</v>
      </c>
      <c r="C273" s="1" t="s">
        <v>1425</v>
      </c>
      <c r="D273" s="4">
        <v>43000</v>
      </c>
      <c r="E273" s="4">
        <v>70000</v>
      </c>
      <c r="F273" s="4">
        <v>56500</v>
      </c>
      <c r="G273" s="1" t="s">
        <v>1307</v>
      </c>
      <c r="H273" t="s">
        <v>1464</v>
      </c>
      <c r="I273" s="1" t="s">
        <v>1308</v>
      </c>
      <c r="J273" s="1" t="s">
        <v>107</v>
      </c>
      <c r="K273" s="1" t="s">
        <v>37</v>
      </c>
      <c r="L273" s="1" t="s">
        <v>38</v>
      </c>
      <c r="M273" s="1" t="s">
        <v>44</v>
      </c>
      <c r="N273" s="1" t="s">
        <v>369</v>
      </c>
      <c r="O273" s="1" t="s">
        <v>370</v>
      </c>
      <c r="P273">
        <v>37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 t="s">
        <v>71</v>
      </c>
      <c r="AH273" s="1" t="str">
        <f t="shared" si="4"/>
        <v>Jr</v>
      </c>
      <c r="AI273" t="s">
        <v>34</v>
      </c>
      <c r="AJ273" s="4">
        <v>56.5</v>
      </c>
      <c r="AK273" s="1">
        <f>Table1[[#This Row],[avg_salary]]*1000</f>
        <v>56500</v>
      </c>
    </row>
    <row r="274" spans="1:37" x14ac:dyDescent="0.3">
      <c r="A274" s="1">
        <v>339</v>
      </c>
      <c r="B274" s="1" t="s">
        <v>372</v>
      </c>
      <c r="C274" s="1" t="s">
        <v>928</v>
      </c>
      <c r="D274" s="4">
        <v>111000</v>
      </c>
      <c r="E274" s="4">
        <v>183000</v>
      </c>
      <c r="F274" s="4">
        <v>147000</v>
      </c>
      <c r="G274" s="1" t="s">
        <v>1183</v>
      </c>
      <c r="H274" t="s">
        <v>1183</v>
      </c>
      <c r="I274" s="1" t="s">
        <v>1184</v>
      </c>
      <c r="J274" s="1" t="s">
        <v>781</v>
      </c>
      <c r="K274" s="1" t="s">
        <v>108</v>
      </c>
      <c r="L274" s="1" t="s">
        <v>109</v>
      </c>
      <c r="M274" s="1" t="s">
        <v>58</v>
      </c>
      <c r="N274" s="1" t="s">
        <v>373</v>
      </c>
      <c r="O274" s="1" t="s">
        <v>56</v>
      </c>
      <c r="P274">
        <v>49</v>
      </c>
      <c r="Q274" s="1">
        <v>1</v>
      </c>
      <c r="R274" s="1">
        <v>1</v>
      </c>
      <c r="S274" s="1">
        <v>1</v>
      </c>
      <c r="T274" s="1">
        <v>0</v>
      </c>
      <c r="U274" s="1">
        <v>1</v>
      </c>
      <c r="V274" s="1">
        <v>0</v>
      </c>
      <c r="W274" s="1">
        <v>1</v>
      </c>
      <c r="X274" s="1">
        <v>1</v>
      </c>
      <c r="Y274" s="1">
        <v>1</v>
      </c>
      <c r="Z274" s="1">
        <v>1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 t="s">
        <v>33</v>
      </c>
      <c r="AH274" s="1" t="str">
        <f t="shared" si="4"/>
        <v>Sr</v>
      </c>
      <c r="AI274" t="s">
        <v>34</v>
      </c>
      <c r="AJ274" s="4">
        <v>147</v>
      </c>
      <c r="AK274" s="1">
        <f>Table1[[#This Row],[avg_salary]]*1000</f>
        <v>147000</v>
      </c>
    </row>
    <row r="275" spans="1:37" x14ac:dyDescent="0.3">
      <c r="A275" s="1">
        <v>341</v>
      </c>
      <c r="B275" s="1" t="s">
        <v>28</v>
      </c>
      <c r="C275" s="1" t="s">
        <v>980</v>
      </c>
      <c r="D275" s="4">
        <v>68000</v>
      </c>
      <c r="E275" s="4">
        <v>112000</v>
      </c>
      <c r="F275" s="4">
        <v>90000</v>
      </c>
      <c r="G275" s="1" t="s">
        <v>1342</v>
      </c>
      <c r="H275" t="s">
        <v>1439</v>
      </c>
      <c r="I275" s="1" t="s">
        <v>1189</v>
      </c>
      <c r="J275" s="1" t="s">
        <v>781</v>
      </c>
      <c r="K275" s="1" t="s">
        <v>143</v>
      </c>
      <c r="L275" s="1" t="s">
        <v>74</v>
      </c>
      <c r="M275" s="1" t="s">
        <v>54</v>
      </c>
      <c r="N275" s="1" t="s">
        <v>474</v>
      </c>
      <c r="O275" s="1" t="s">
        <v>67</v>
      </c>
      <c r="P275">
        <v>42</v>
      </c>
      <c r="Q275" s="1">
        <v>1</v>
      </c>
      <c r="R275" s="1">
        <v>0</v>
      </c>
      <c r="S275" s="1">
        <v>0</v>
      </c>
      <c r="T275" s="1">
        <v>1</v>
      </c>
      <c r="U275" s="1">
        <v>1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0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 t="s">
        <v>33</v>
      </c>
      <c r="AH275" s="1" t="str">
        <f t="shared" si="4"/>
        <v>Jr</v>
      </c>
      <c r="AI275" t="s">
        <v>72</v>
      </c>
      <c r="AJ275" s="4">
        <v>90</v>
      </c>
      <c r="AK275" s="1">
        <f>Table1[[#This Row],[avg_salary]]*1000</f>
        <v>90000</v>
      </c>
    </row>
    <row r="276" spans="1:37" x14ac:dyDescent="0.3">
      <c r="A276" s="1">
        <v>342</v>
      </c>
      <c r="B276" s="1" t="s">
        <v>475</v>
      </c>
      <c r="C276" s="1" t="s">
        <v>981</v>
      </c>
      <c r="D276" s="4">
        <v>42000</v>
      </c>
      <c r="E276" s="4">
        <v>74000</v>
      </c>
      <c r="F276" s="4">
        <v>58000</v>
      </c>
      <c r="G276" s="1" t="s">
        <v>1343</v>
      </c>
      <c r="H276" t="s">
        <v>1442</v>
      </c>
      <c r="I276" s="1" t="s">
        <v>1198</v>
      </c>
      <c r="J276" s="1" t="s">
        <v>781</v>
      </c>
      <c r="K276" s="1" t="s">
        <v>61</v>
      </c>
      <c r="L276" s="1" t="s">
        <v>62</v>
      </c>
      <c r="M276" s="1" t="s">
        <v>130</v>
      </c>
      <c r="N276" s="1" t="s">
        <v>476</v>
      </c>
      <c r="O276" s="1" t="s">
        <v>97</v>
      </c>
      <c r="P276">
        <v>37</v>
      </c>
      <c r="Q276" s="1">
        <v>0</v>
      </c>
      <c r="R276" s="1">
        <v>0</v>
      </c>
      <c r="S276" s="1">
        <v>1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 t="s">
        <v>88</v>
      </c>
      <c r="AH276" s="1" t="str">
        <f t="shared" si="4"/>
        <v>Jr</v>
      </c>
      <c r="AI276" t="s">
        <v>34</v>
      </c>
      <c r="AJ276" s="4">
        <v>58</v>
      </c>
      <c r="AK276" s="1">
        <f>Table1[[#This Row],[avg_salary]]*1000</f>
        <v>58000</v>
      </c>
    </row>
    <row r="277" spans="1:37" x14ac:dyDescent="0.3">
      <c r="A277" s="1">
        <v>344</v>
      </c>
      <c r="B277" s="1" t="s">
        <v>374</v>
      </c>
      <c r="C277" s="1" t="s">
        <v>905</v>
      </c>
      <c r="D277" s="4">
        <v>44000</v>
      </c>
      <c r="E277" s="4">
        <v>78000</v>
      </c>
      <c r="F277" s="4">
        <v>61000</v>
      </c>
      <c r="G277" s="1" t="s">
        <v>1309</v>
      </c>
      <c r="H277" t="s">
        <v>1452</v>
      </c>
      <c r="I277" s="1" t="s">
        <v>1237</v>
      </c>
      <c r="J277" s="1" t="s">
        <v>780</v>
      </c>
      <c r="K277" s="1" t="s">
        <v>48</v>
      </c>
      <c r="L277" s="1" t="s">
        <v>49</v>
      </c>
      <c r="M277" s="1" t="s">
        <v>58</v>
      </c>
      <c r="N277" s="1" t="s">
        <v>375</v>
      </c>
      <c r="O277" s="1" t="s">
        <v>182</v>
      </c>
      <c r="P277">
        <v>25</v>
      </c>
      <c r="Q277" s="1">
        <v>0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 t="s">
        <v>88</v>
      </c>
      <c r="AH277" s="1" t="str">
        <f t="shared" si="4"/>
        <v>Jr</v>
      </c>
      <c r="AI277" t="s">
        <v>34</v>
      </c>
      <c r="AJ277" s="4">
        <v>61</v>
      </c>
      <c r="AK277" s="1">
        <f>Table1[[#This Row],[avg_salary]]*1000</f>
        <v>61000</v>
      </c>
    </row>
    <row r="278" spans="1:37" x14ac:dyDescent="0.3">
      <c r="A278" s="1">
        <v>346</v>
      </c>
      <c r="B278" s="1" t="s">
        <v>376</v>
      </c>
      <c r="C278" s="1" t="s">
        <v>929</v>
      </c>
      <c r="D278" s="4">
        <v>81000</v>
      </c>
      <c r="E278" s="4">
        <v>159000</v>
      </c>
      <c r="F278" s="4">
        <v>120000</v>
      </c>
      <c r="G278" s="1" t="s">
        <v>1252</v>
      </c>
      <c r="H278" t="s">
        <v>1453</v>
      </c>
      <c r="I278" s="1" t="s">
        <v>1241</v>
      </c>
      <c r="J278" s="1" t="s">
        <v>322</v>
      </c>
      <c r="K278" s="1" t="s">
        <v>323</v>
      </c>
      <c r="L278" s="1" t="s">
        <v>255</v>
      </c>
      <c r="M278" s="1" t="s">
        <v>54</v>
      </c>
      <c r="N278" s="1" t="s">
        <v>324</v>
      </c>
      <c r="O278" s="1" t="s">
        <v>194</v>
      </c>
      <c r="P278">
        <v>24</v>
      </c>
      <c r="Q278" s="1">
        <v>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 t="s">
        <v>306</v>
      </c>
      <c r="AH278" s="1" t="str">
        <f t="shared" si="4"/>
        <v>Sr</v>
      </c>
      <c r="AI278" t="s">
        <v>72</v>
      </c>
      <c r="AJ278" s="4">
        <v>120</v>
      </c>
      <c r="AK278" s="1">
        <f>Table1[[#This Row],[avg_salary]]*1000</f>
        <v>120000</v>
      </c>
    </row>
    <row r="279" spans="1:37" x14ac:dyDescent="0.3">
      <c r="A279" s="1">
        <v>347</v>
      </c>
      <c r="B279" s="1" t="s">
        <v>28</v>
      </c>
      <c r="C279" s="1" t="s">
        <v>982</v>
      </c>
      <c r="D279" s="4">
        <v>95000</v>
      </c>
      <c r="E279" s="4">
        <v>161000</v>
      </c>
      <c r="F279" s="4">
        <v>128000</v>
      </c>
      <c r="G279" s="1" t="s">
        <v>1183</v>
      </c>
      <c r="H279" t="s">
        <v>1183</v>
      </c>
      <c r="I279" s="1" t="s">
        <v>1184</v>
      </c>
      <c r="J279" s="1" t="s">
        <v>781</v>
      </c>
      <c r="K279" s="1" t="s">
        <v>477</v>
      </c>
      <c r="L279" s="1" t="s">
        <v>77</v>
      </c>
      <c r="M279" s="1" t="s">
        <v>50</v>
      </c>
      <c r="N279" s="1" t="s">
        <v>478</v>
      </c>
      <c r="O279" s="1" t="s">
        <v>56</v>
      </c>
      <c r="P279">
        <v>27</v>
      </c>
      <c r="Q279" s="1">
        <v>1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 t="s">
        <v>33</v>
      </c>
      <c r="AH279" s="1" t="str">
        <f t="shared" si="4"/>
        <v>Sr</v>
      </c>
      <c r="AI279" t="s">
        <v>34</v>
      </c>
      <c r="AJ279" s="4">
        <v>128</v>
      </c>
      <c r="AK279" s="1">
        <f>Table1[[#This Row],[avg_salary]]*1000</f>
        <v>128000</v>
      </c>
    </row>
    <row r="280" spans="1:37" x14ac:dyDescent="0.3">
      <c r="A280" s="1">
        <v>348</v>
      </c>
      <c r="B280" s="1" t="s">
        <v>28</v>
      </c>
      <c r="C280" s="1" t="s">
        <v>808</v>
      </c>
      <c r="D280" s="4">
        <v>75000</v>
      </c>
      <c r="E280" s="4">
        <v>124000</v>
      </c>
      <c r="F280" s="4">
        <v>99500</v>
      </c>
      <c r="G280" s="1" t="s">
        <v>1208</v>
      </c>
      <c r="H280" t="s">
        <v>1446</v>
      </c>
      <c r="I280" s="1" t="s">
        <v>1209</v>
      </c>
      <c r="J280" s="1" t="s">
        <v>780</v>
      </c>
      <c r="K280" s="1" t="s">
        <v>61</v>
      </c>
      <c r="L280" s="1" t="s">
        <v>62</v>
      </c>
      <c r="M280" s="1" t="s">
        <v>44</v>
      </c>
      <c r="N280" s="1" t="s">
        <v>127</v>
      </c>
      <c r="O280" s="1" t="s">
        <v>128</v>
      </c>
      <c r="P280">
        <v>48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0</v>
      </c>
      <c r="W280" s="1">
        <v>1</v>
      </c>
      <c r="X280" s="1">
        <v>0</v>
      </c>
      <c r="Y280" s="1">
        <v>1</v>
      </c>
      <c r="Z280" s="1">
        <v>1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 t="s">
        <v>33</v>
      </c>
      <c r="AH280" s="1" t="str">
        <f t="shared" si="4"/>
        <v>Jr</v>
      </c>
      <c r="AI280" t="s">
        <v>72</v>
      </c>
      <c r="AJ280" s="4">
        <v>99.5</v>
      </c>
      <c r="AK280" s="1">
        <f>Table1[[#This Row],[avg_salary]]*1000</f>
        <v>99500</v>
      </c>
    </row>
    <row r="281" spans="1:37" x14ac:dyDescent="0.3">
      <c r="A281" s="1">
        <v>349</v>
      </c>
      <c r="B281" s="1" t="s">
        <v>28</v>
      </c>
      <c r="C281" s="1" t="s">
        <v>810</v>
      </c>
      <c r="D281" s="4">
        <v>72000</v>
      </c>
      <c r="E281" s="4">
        <v>120000</v>
      </c>
      <c r="F281" s="4">
        <v>96000</v>
      </c>
      <c r="G281" s="1" t="s">
        <v>1213</v>
      </c>
      <c r="H281" t="s">
        <v>1448</v>
      </c>
      <c r="I281" s="1" t="s">
        <v>1214</v>
      </c>
      <c r="J281" s="1" t="s">
        <v>780</v>
      </c>
      <c r="K281" s="1" t="s">
        <v>57</v>
      </c>
      <c r="L281" s="1" t="s">
        <v>57</v>
      </c>
      <c r="M281" s="1" t="s">
        <v>50</v>
      </c>
      <c r="N281" s="1" t="s">
        <v>134</v>
      </c>
      <c r="O281" s="1" t="s">
        <v>135</v>
      </c>
      <c r="P281">
        <v>27</v>
      </c>
      <c r="Q281" s="1">
        <v>1</v>
      </c>
      <c r="R281" s="1">
        <v>0</v>
      </c>
      <c r="S281" s="1">
        <v>0</v>
      </c>
      <c r="T281" s="1">
        <v>0</v>
      </c>
      <c r="U281" s="1">
        <v>1</v>
      </c>
      <c r="V281" s="1">
        <v>1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 t="s">
        <v>33</v>
      </c>
      <c r="AH281" s="1" t="str">
        <f t="shared" si="4"/>
        <v>Jr</v>
      </c>
      <c r="AI281" t="s">
        <v>34</v>
      </c>
      <c r="AJ281" s="4">
        <v>96</v>
      </c>
      <c r="AK281" s="1">
        <f>Table1[[#This Row],[avg_salary]]*1000</f>
        <v>96000</v>
      </c>
    </row>
    <row r="282" spans="1:37" x14ac:dyDescent="0.3">
      <c r="A282" s="1">
        <v>350</v>
      </c>
      <c r="B282" s="1" t="s">
        <v>28</v>
      </c>
      <c r="C282" s="1" t="s">
        <v>983</v>
      </c>
      <c r="D282" s="4">
        <v>76000</v>
      </c>
      <c r="E282" s="4">
        <v>126000</v>
      </c>
      <c r="F282" s="4">
        <v>101000</v>
      </c>
      <c r="G282" s="1" t="s">
        <v>1223</v>
      </c>
      <c r="H282" t="s">
        <v>1449</v>
      </c>
      <c r="I282" s="1" t="s">
        <v>1224</v>
      </c>
      <c r="J282" s="1" t="s">
        <v>781</v>
      </c>
      <c r="K282" s="1" t="s">
        <v>89</v>
      </c>
      <c r="L282" s="1" t="s">
        <v>89</v>
      </c>
      <c r="M282" s="1" t="s">
        <v>44</v>
      </c>
      <c r="N282" s="1" t="s">
        <v>479</v>
      </c>
      <c r="O282" s="1" t="s">
        <v>162</v>
      </c>
      <c r="P282">
        <v>31</v>
      </c>
      <c r="Q282" s="1">
        <v>1</v>
      </c>
      <c r="R282" s="1">
        <v>0</v>
      </c>
      <c r="S282" s="1">
        <v>0</v>
      </c>
      <c r="T282" s="1">
        <v>1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G282" s="1" t="s">
        <v>33</v>
      </c>
      <c r="AH282" s="1" t="str">
        <f t="shared" si="4"/>
        <v>Jr</v>
      </c>
      <c r="AI282" t="s">
        <v>34</v>
      </c>
      <c r="AJ282" s="4">
        <v>101</v>
      </c>
      <c r="AK282" s="1">
        <f>Table1[[#This Row],[avg_salary]]*1000</f>
        <v>101000</v>
      </c>
    </row>
    <row r="283" spans="1:37" x14ac:dyDescent="0.3">
      <c r="A283" s="1">
        <v>351</v>
      </c>
      <c r="B283" s="1" t="s">
        <v>148</v>
      </c>
      <c r="C283" s="1" t="s">
        <v>931</v>
      </c>
      <c r="D283" s="4">
        <v>114000</v>
      </c>
      <c r="E283" s="4">
        <v>182000</v>
      </c>
      <c r="F283" s="4">
        <v>148000</v>
      </c>
      <c r="G283" s="1" t="s">
        <v>1310</v>
      </c>
      <c r="H283" t="s">
        <v>1439</v>
      </c>
      <c r="I283" s="1" t="s">
        <v>1189</v>
      </c>
      <c r="J283" s="1" t="s">
        <v>780</v>
      </c>
      <c r="K283" s="1" t="s">
        <v>238</v>
      </c>
      <c r="L283" s="1" t="s">
        <v>62</v>
      </c>
      <c r="M283" s="1" t="s">
        <v>30</v>
      </c>
      <c r="N283" s="1" t="s">
        <v>380</v>
      </c>
      <c r="O283" s="1" t="s">
        <v>67</v>
      </c>
      <c r="P283">
        <v>36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 t="s">
        <v>33</v>
      </c>
      <c r="AH283" s="1" t="str">
        <f t="shared" si="4"/>
        <v>Sr</v>
      </c>
      <c r="AI283" t="s">
        <v>34</v>
      </c>
      <c r="AJ283" s="4">
        <v>148</v>
      </c>
      <c r="AK283" s="1">
        <f>Table1[[#This Row],[avg_salary]]*1000</f>
        <v>148000</v>
      </c>
    </row>
    <row r="284" spans="1:37" x14ac:dyDescent="0.3">
      <c r="A284" s="1">
        <v>352</v>
      </c>
      <c r="B284" s="1" t="s">
        <v>480</v>
      </c>
      <c r="C284" s="1" t="s">
        <v>984</v>
      </c>
      <c r="D284" s="4">
        <v>108000</v>
      </c>
      <c r="E284" s="4">
        <v>176000</v>
      </c>
      <c r="F284" s="4">
        <v>142000</v>
      </c>
      <c r="G284" s="1" t="s">
        <v>1264</v>
      </c>
      <c r="H284" t="s">
        <v>1440</v>
      </c>
      <c r="I284" s="1" t="s">
        <v>1192</v>
      </c>
      <c r="J284" s="1" t="s">
        <v>780</v>
      </c>
      <c r="K284" s="1" t="s">
        <v>103</v>
      </c>
      <c r="L284" s="1" t="s">
        <v>74</v>
      </c>
      <c r="M284" s="1" t="s">
        <v>44</v>
      </c>
      <c r="N284" s="1" t="s">
        <v>124</v>
      </c>
      <c r="O284" s="1" t="s">
        <v>81</v>
      </c>
      <c r="P284">
        <v>30</v>
      </c>
      <c r="Q284" s="1">
        <v>1</v>
      </c>
      <c r="R284" s="1">
        <v>0</v>
      </c>
      <c r="S284" s="1">
        <v>1</v>
      </c>
      <c r="T284" s="1">
        <v>0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1</v>
      </c>
      <c r="AF284" s="1">
        <v>0</v>
      </c>
      <c r="AG284" s="1" t="s">
        <v>33</v>
      </c>
      <c r="AH284" s="1" t="str">
        <f t="shared" si="4"/>
        <v>Sr</v>
      </c>
      <c r="AI284" t="s">
        <v>34</v>
      </c>
      <c r="AJ284" s="4">
        <v>142</v>
      </c>
      <c r="AK284" s="1">
        <f>Table1[[#This Row],[avg_salary]]*1000</f>
        <v>142000</v>
      </c>
    </row>
    <row r="285" spans="1:37" x14ac:dyDescent="0.3">
      <c r="A285" s="1">
        <v>353</v>
      </c>
      <c r="B285" s="1" t="s">
        <v>148</v>
      </c>
      <c r="C285" s="1" t="s">
        <v>985</v>
      </c>
      <c r="D285" s="4">
        <v>130000</v>
      </c>
      <c r="E285" s="4">
        <v>208000</v>
      </c>
      <c r="F285" s="4">
        <v>169000</v>
      </c>
      <c r="G285" s="1" t="s">
        <v>1239</v>
      </c>
      <c r="H285" t="s">
        <v>1439</v>
      </c>
      <c r="I285" s="1" t="s">
        <v>1189</v>
      </c>
      <c r="J285" s="1" t="s">
        <v>780</v>
      </c>
      <c r="K285" s="1" t="s">
        <v>1481</v>
      </c>
      <c r="L285" s="1" t="s">
        <v>255</v>
      </c>
      <c r="M285" s="1" t="s">
        <v>54</v>
      </c>
      <c r="N285" s="1" t="s">
        <v>481</v>
      </c>
      <c r="O285" s="1" t="s">
        <v>67</v>
      </c>
      <c r="P285">
        <v>31</v>
      </c>
      <c r="Q285" s="1">
        <v>0</v>
      </c>
      <c r="R285" s="1">
        <v>0</v>
      </c>
      <c r="S285" s="1">
        <v>1</v>
      </c>
      <c r="T285" s="1">
        <v>1</v>
      </c>
      <c r="U285" s="1">
        <v>1</v>
      </c>
      <c r="V285" s="1">
        <v>1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1</v>
      </c>
      <c r="AC285" s="1">
        <v>0</v>
      </c>
      <c r="AD285" s="1">
        <v>0</v>
      </c>
      <c r="AE285" s="1">
        <v>1</v>
      </c>
      <c r="AF285" s="1">
        <v>0</v>
      </c>
      <c r="AG285" s="1" t="s">
        <v>33</v>
      </c>
      <c r="AH285" s="1" t="str">
        <f t="shared" si="4"/>
        <v>Sr</v>
      </c>
      <c r="AI285" t="s">
        <v>34</v>
      </c>
      <c r="AJ285" s="4">
        <v>169</v>
      </c>
      <c r="AK285" s="1">
        <f>Table1[[#This Row],[avg_salary]]*1000</f>
        <v>169000</v>
      </c>
    </row>
    <row r="286" spans="1:37" x14ac:dyDescent="0.3">
      <c r="A286" s="1">
        <v>354</v>
      </c>
      <c r="B286" s="1" t="s">
        <v>377</v>
      </c>
      <c r="C286" s="1" t="s">
        <v>930</v>
      </c>
      <c r="D286" s="4">
        <v>83000</v>
      </c>
      <c r="E286" s="4">
        <v>166000</v>
      </c>
      <c r="F286" s="4">
        <v>124500</v>
      </c>
      <c r="G286" s="1" t="s">
        <v>1274</v>
      </c>
      <c r="H286" t="s">
        <v>1459</v>
      </c>
      <c r="I286" s="1" t="s">
        <v>1275</v>
      </c>
      <c r="J286" s="1" t="s">
        <v>781</v>
      </c>
      <c r="K286" s="1" t="s">
        <v>378</v>
      </c>
      <c r="L286" s="1" t="s">
        <v>62</v>
      </c>
      <c r="M286" s="1" t="s">
        <v>50</v>
      </c>
      <c r="N286" s="1" t="s">
        <v>379</v>
      </c>
      <c r="O286" s="1" t="s">
        <v>266</v>
      </c>
      <c r="P286">
        <v>21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  <c r="W286" s="1">
        <v>1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 t="s">
        <v>33</v>
      </c>
      <c r="AH286" s="1" t="str">
        <f t="shared" si="4"/>
        <v>Sr</v>
      </c>
      <c r="AI286" t="s">
        <v>34</v>
      </c>
      <c r="AJ286" s="4">
        <v>124.5</v>
      </c>
      <c r="AK286" s="1">
        <f>Table1[[#This Row],[avg_salary]]*1000</f>
        <v>124500</v>
      </c>
    </row>
    <row r="287" spans="1:37" x14ac:dyDescent="0.3">
      <c r="A287" s="1">
        <v>355</v>
      </c>
      <c r="B287" s="1" t="s">
        <v>381</v>
      </c>
      <c r="C287" s="1" t="s">
        <v>932</v>
      </c>
      <c r="D287" s="4">
        <v>42000</v>
      </c>
      <c r="E287" s="4">
        <v>76000</v>
      </c>
      <c r="F287" s="4">
        <v>59000</v>
      </c>
      <c r="G287" s="1" t="s">
        <v>1232</v>
      </c>
      <c r="H287" t="s">
        <v>1451</v>
      </c>
      <c r="I287" s="1" t="s">
        <v>1233</v>
      </c>
      <c r="J287" s="1" t="s">
        <v>780</v>
      </c>
      <c r="K287" s="1" t="s">
        <v>29</v>
      </c>
      <c r="L287" s="1" t="s">
        <v>29</v>
      </c>
      <c r="M287" s="1" t="s">
        <v>65</v>
      </c>
      <c r="N287" s="1" t="s">
        <v>382</v>
      </c>
      <c r="O287" s="1" t="s">
        <v>177</v>
      </c>
      <c r="P287">
        <v>33</v>
      </c>
      <c r="Q287" s="1">
        <v>1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 t="s">
        <v>88</v>
      </c>
      <c r="AH287" s="1" t="str">
        <f t="shared" si="4"/>
        <v>Jr</v>
      </c>
      <c r="AI287" t="s">
        <v>34</v>
      </c>
      <c r="AJ287" s="4">
        <v>59</v>
      </c>
      <c r="AK287" s="1">
        <f>Table1[[#This Row],[avg_salary]]*1000</f>
        <v>59000</v>
      </c>
    </row>
    <row r="288" spans="1:37" x14ac:dyDescent="0.3">
      <c r="A288" s="1">
        <v>356</v>
      </c>
      <c r="B288" s="1" t="s">
        <v>482</v>
      </c>
      <c r="C288" s="1" t="s">
        <v>986</v>
      </c>
      <c r="D288" s="4">
        <v>37000</v>
      </c>
      <c r="E288" s="4">
        <v>68000</v>
      </c>
      <c r="F288" s="4">
        <v>52500</v>
      </c>
      <c r="G288" s="1" t="s">
        <v>1235</v>
      </c>
      <c r="H288" t="s">
        <v>1439</v>
      </c>
      <c r="I288" s="1" t="s">
        <v>1189</v>
      </c>
      <c r="J288" s="1" t="s">
        <v>780</v>
      </c>
      <c r="K288" s="1" t="s">
        <v>64</v>
      </c>
      <c r="L288" s="1" t="s">
        <v>43</v>
      </c>
      <c r="M288" s="1" t="s">
        <v>121</v>
      </c>
      <c r="N288" s="1" t="s">
        <v>483</v>
      </c>
      <c r="O288" s="1" t="s">
        <v>67</v>
      </c>
      <c r="P288">
        <v>30</v>
      </c>
      <c r="Q288" s="1">
        <v>1</v>
      </c>
      <c r="R288" s="1">
        <v>0</v>
      </c>
      <c r="S288" s="1">
        <v>0</v>
      </c>
      <c r="T288" s="1">
        <v>0</v>
      </c>
      <c r="U288" s="1">
        <v>1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 t="s">
        <v>208</v>
      </c>
      <c r="AH288" s="1" t="str">
        <f t="shared" si="4"/>
        <v>Jr</v>
      </c>
      <c r="AI288" t="s">
        <v>34</v>
      </c>
      <c r="AJ288" s="4">
        <v>52.5</v>
      </c>
      <c r="AK288" s="1">
        <f>Table1[[#This Row],[avg_salary]]*1000</f>
        <v>52500</v>
      </c>
    </row>
    <row r="289" spans="1:37" x14ac:dyDescent="0.3">
      <c r="A289" s="1">
        <v>357</v>
      </c>
      <c r="B289" s="1" t="s">
        <v>150</v>
      </c>
      <c r="C289" s="1" t="s">
        <v>987</v>
      </c>
      <c r="D289" s="4">
        <v>52000</v>
      </c>
      <c r="E289" s="4">
        <v>99000</v>
      </c>
      <c r="F289" s="4">
        <v>75500</v>
      </c>
      <c r="G289" s="1" t="s">
        <v>1269</v>
      </c>
      <c r="H289" t="s">
        <v>1438</v>
      </c>
      <c r="I289" s="1" t="s">
        <v>1186</v>
      </c>
      <c r="J289" s="1" t="s">
        <v>780</v>
      </c>
      <c r="K289" s="1" t="s">
        <v>143</v>
      </c>
      <c r="L289" s="1" t="s">
        <v>74</v>
      </c>
      <c r="M289" s="1" t="s">
        <v>30</v>
      </c>
      <c r="N289" s="1" t="s">
        <v>484</v>
      </c>
      <c r="O289" s="1" t="s">
        <v>60</v>
      </c>
      <c r="P289">
        <v>31</v>
      </c>
      <c r="Q289" s="1">
        <v>0</v>
      </c>
      <c r="R289" s="1">
        <v>1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1</v>
      </c>
      <c r="AB289" s="1">
        <v>1</v>
      </c>
      <c r="AC289" s="1">
        <v>1</v>
      </c>
      <c r="AD289" s="1">
        <v>0</v>
      </c>
      <c r="AE289" s="1">
        <v>0</v>
      </c>
      <c r="AF289" s="1">
        <v>0</v>
      </c>
      <c r="AG289" s="1" t="s">
        <v>98</v>
      </c>
      <c r="AH289" s="1" t="str">
        <f t="shared" si="4"/>
        <v>Jr</v>
      </c>
      <c r="AI289" t="s">
        <v>34</v>
      </c>
      <c r="AJ289" s="4">
        <v>75.5</v>
      </c>
      <c r="AK289" s="1">
        <f>Table1[[#This Row],[avg_salary]]*1000</f>
        <v>75500</v>
      </c>
    </row>
    <row r="290" spans="1:37" x14ac:dyDescent="0.3">
      <c r="A290" s="1">
        <v>358</v>
      </c>
      <c r="B290" s="1" t="s">
        <v>148</v>
      </c>
      <c r="C290" s="1" t="s">
        <v>988</v>
      </c>
      <c r="D290" s="4">
        <v>105000</v>
      </c>
      <c r="E290" s="4">
        <v>173000</v>
      </c>
      <c r="F290" s="4">
        <v>139000</v>
      </c>
      <c r="G290" s="1" t="s">
        <v>1234</v>
      </c>
      <c r="H290" t="s">
        <v>1183</v>
      </c>
      <c r="I290" s="1" t="s">
        <v>1184</v>
      </c>
      <c r="J290" s="1" t="s">
        <v>781</v>
      </c>
      <c r="K290" s="1" t="s">
        <v>114</v>
      </c>
      <c r="L290" s="1" t="s">
        <v>109</v>
      </c>
      <c r="M290" s="1" t="s">
        <v>84</v>
      </c>
      <c r="N290" s="1" t="s">
        <v>178</v>
      </c>
      <c r="O290" s="1" t="s">
        <v>56</v>
      </c>
      <c r="P290">
        <v>32</v>
      </c>
      <c r="Q290" s="1">
        <v>1</v>
      </c>
      <c r="R290" s="1">
        <v>0</v>
      </c>
      <c r="S290" s="1">
        <v>0</v>
      </c>
      <c r="T290" s="1">
        <v>1</v>
      </c>
      <c r="U290" s="1">
        <v>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 t="s">
        <v>33</v>
      </c>
      <c r="AH290" s="1" t="str">
        <f t="shared" si="4"/>
        <v>Sr</v>
      </c>
      <c r="AI290" t="s">
        <v>34</v>
      </c>
      <c r="AJ290" s="4">
        <v>139</v>
      </c>
      <c r="AK290" s="1">
        <f>Table1[[#This Row],[avg_salary]]*1000</f>
        <v>139000</v>
      </c>
    </row>
    <row r="291" spans="1:37" x14ac:dyDescent="0.3">
      <c r="A291" s="1">
        <v>362</v>
      </c>
      <c r="B291" s="1" t="s">
        <v>485</v>
      </c>
      <c r="C291" s="1" t="s">
        <v>989</v>
      </c>
      <c r="D291" s="4">
        <v>71000</v>
      </c>
      <c r="E291" s="4">
        <v>134000</v>
      </c>
      <c r="F291" s="4">
        <v>102500</v>
      </c>
      <c r="G291" s="1" t="s">
        <v>1195</v>
      </c>
      <c r="H291" t="s">
        <v>1441</v>
      </c>
      <c r="I291" s="1" t="s">
        <v>1196</v>
      </c>
      <c r="J291" s="1" t="s">
        <v>781</v>
      </c>
      <c r="K291" s="1" t="s">
        <v>89</v>
      </c>
      <c r="L291" s="1" t="s">
        <v>89</v>
      </c>
      <c r="M291" s="1" t="s">
        <v>84</v>
      </c>
      <c r="N291" s="1" t="s">
        <v>90</v>
      </c>
      <c r="O291" s="1" t="s">
        <v>91</v>
      </c>
      <c r="P291">
        <v>23</v>
      </c>
      <c r="Q291" s="1">
        <v>1</v>
      </c>
      <c r="R291" s="1">
        <v>1</v>
      </c>
      <c r="S291" s="1">
        <v>1</v>
      </c>
      <c r="T291" s="1">
        <v>1</v>
      </c>
      <c r="U291" s="1">
        <v>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1</v>
      </c>
      <c r="AB291" s="1">
        <v>1</v>
      </c>
      <c r="AC291" s="1">
        <v>0</v>
      </c>
      <c r="AD291" s="1">
        <v>0</v>
      </c>
      <c r="AE291" s="1">
        <v>1</v>
      </c>
      <c r="AF291" s="1">
        <v>0</v>
      </c>
      <c r="AG291" s="1" t="s">
        <v>98</v>
      </c>
      <c r="AH291" s="1" t="str">
        <f t="shared" si="4"/>
        <v>Jr</v>
      </c>
      <c r="AI291" t="s">
        <v>72</v>
      </c>
      <c r="AJ291" s="4">
        <v>102.5</v>
      </c>
      <c r="AK291" s="1">
        <f>Table1[[#This Row],[avg_salary]]*1000</f>
        <v>102500</v>
      </c>
    </row>
    <row r="292" spans="1:37" x14ac:dyDescent="0.3">
      <c r="A292" s="1">
        <v>364</v>
      </c>
      <c r="B292" s="1" t="s">
        <v>486</v>
      </c>
      <c r="C292" s="1" t="s">
        <v>990</v>
      </c>
      <c r="D292" s="4">
        <v>39000</v>
      </c>
      <c r="E292" s="4">
        <v>82000</v>
      </c>
      <c r="F292" s="4">
        <v>60500</v>
      </c>
      <c r="G292" s="1" t="s">
        <v>1344</v>
      </c>
      <c r="H292" t="s">
        <v>1468</v>
      </c>
      <c r="I292" s="1" t="s">
        <v>1345</v>
      </c>
      <c r="J292" s="1" t="s">
        <v>780</v>
      </c>
      <c r="K292" s="1" t="s">
        <v>290</v>
      </c>
      <c r="L292" s="1" t="s">
        <v>43</v>
      </c>
      <c r="M292" s="1" t="s">
        <v>65</v>
      </c>
      <c r="N292" s="1" t="s">
        <v>487</v>
      </c>
      <c r="O292" s="1" t="s">
        <v>488</v>
      </c>
      <c r="P292">
        <v>54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 t="s">
        <v>71</v>
      </c>
      <c r="AH292" s="1" t="str">
        <f t="shared" si="4"/>
        <v>Jr</v>
      </c>
      <c r="AI292" t="s">
        <v>34</v>
      </c>
      <c r="AJ292" s="4">
        <v>60.5</v>
      </c>
      <c r="AK292" s="1">
        <f>Table1[[#This Row],[avg_salary]]*1000</f>
        <v>60500</v>
      </c>
    </row>
    <row r="293" spans="1:37" x14ac:dyDescent="0.3">
      <c r="A293" s="1">
        <v>366</v>
      </c>
      <c r="B293" s="1" t="s">
        <v>383</v>
      </c>
      <c r="C293" s="1" t="s">
        <v>933</v>
      </c>
      <c r="D293" s="4">
        <v>114000</v>
      </c>
      <c r="E293" s="4">
        <v>179000</v>
      </c>
      <c r="F293" s="4">
        <v>146500</v>
      </c>
      <c r="G293" s="1" t="s">
        <v>1210</v>
      </c>
      <c r="H293" t="s">
        <v>1441</v>
      </c>
      <c r="I293" s="1" t="s">
        <v>1196</v>
      </c>
      <c r="J293" s="1" t="s">
        <v>781</v>
      </c>
      <c r="K293" s="1" t="s">
        <v>108</v>
      </c>
      <c r="L293" s="1" t="s">
        <v>109</v>
      </c>
      <c r="M293" s="1" t="s">
        <v>130</v>
      </c>
      <c r="N293" s="1" t="s">
        <v>131</v>
      </c>
      <c r="O293" s="1" t="s">
        <v>91</v>
      </c>
      <c r="P293">
        <v>34</v>
      </c>
      <c r="Q293" s="1">
        <v>1</v>
      </c>
      <c r="R293" s="1">
        <v>0</v>
      </c>
      <c r="S293" s="1">
        <v>0</v>
      </c>
      <c r="T293" s="1">
        <v>1</v>
      </c>
      <c r="U293" s="1">
        <v>1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 t="s">
        <v>33</v>
      </c>
      <c r="AH293" s="1" t="str">
        <f t="shared" si="4"/>
        <v>Sr</v>
      </c>
      <c r="AI293" t="s">
        <v>34</v>
      </c>
      <c r="AJ293" s="4">
        <v>146.5</v>
      </c>
      <c r="AK293" s="1">
        <f>Table1[[#This Row],[avg_salary]]*1000</f>
        <v>146500</v>
      </c>
    </row>
    <row r="294" spans="1:37" x14ac:dyDescent="0.3">
      <c r="A294" s="1">
        <v>367</v>
      </c>
      <c r="B294" s="1" t="s">
        <v>489</v>
      </c>
      <c r="C294" s="1" t="s">
        <v>991</v>
      </c>
      <c r="D294" s="4">
        <v>88000</v>
      </c>
      <c r="E294" s="4">
        <v>162000</v>
      </c>
      <c r="F294" s="4">
        <v>125000</v>
      </c>
      <c r="G294" s="1" t="s">
        <v>1297</v>
      </c>
      <c r="H294" t="s">
        <v>1439</v>
      </c>
      <c r="I294" s="1" t="s">
        <v>1189</v>
      </c>
      <c r="J294" s="1" t="s">
        <v>93</v>
      </c>
      <c r="K294" s="1" t="s">
        <v>89</v>
      </c>
      <c r="L294" s="1" t="s">
        <v>89</v>
      </c>
      <c r="M294" s="1" t="s">
        <v>84</v>
      </c>
      <c r="N294" s="1" t="s">
        <v>340</v>
      </c>
      <c r="O294" s="1" t="s">
        <v>67</v>
      </c>
      <c r="P294">
        <v>55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 t="s">
        <v>71</v>
      </c>
      <c r="AH294" s="1" t="str">
        <f t="shared" si="4"/>
        <v>Sr</v>
      </c>
      <c r="AI294" t="s">
        <v>72</v>
      </c>
      <c r="AJ294" s="4">
        <v>125</v>
      </c>
      <c r="AK294" s="1">
        <f>Table1[[#This Row],[avg_salary]]*1000</f>
        <v>125000</v>
      </c>
    </row>
    <row r="295" spans="1:37" x14ac:dyDescent="0.3">
      <c r="A295" s="1">
        <v>368</v>
      </c>
      <c r="B295" s="1" t="s">
        <v>490</v>
      </c>
      <c r="C295" s="1" t="s">
        <v>890</v>
      </c>
      <c r="D295" s="4">
        <v>60000</v>
      </c>
      <c r="E295" s="4">
        <v>102000</v>
      </c>
      <c r="F295" s="4">
        <v>81000</v>
      </c>
      <c r="G295" s="1" t="s">
        <v>1309</v>
      </c>
      <c r="H295" t="s">
        <v>1441</v>
      </c>
      <c r="I295" s="1" t="s">
        <v>1196</v>
      </c>
      <c r="J295" s="1" t="s">
        <v>780</v>
      </c>
      <c r="K295" s="1" t="s">
        <v>108</v>
      </c>
      <c r="L295" s="1" t="s">
        <v>109</v>
      </c>
      <c r="M295" s="1" t="s">
        <v>84</v>
      </c>
      <c r="N295" s="1" t="s">
        <v>338</v>
      </c>
      <c r="O295" s="1" t="s">
        <v>91</v>
      </c>
      <c r="P295">
        <v>20</v>
      </c>
      <c r="Q295" s="1">
        <v>1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0</v>
      </c>
      <c r="AG295" s="1" t="s">
        <v>88</v>
      </c>
      <c r="AH295" s="1" t="str">
        <f t="shared" si="4"/>
        <v>Jr</v>
      </c>
      <c r="AI295" t="s">
        <v>34</v>
      </c>
      <c r="AJ295" s="4">
        <v>81</v>
      </c>
      <c r="AK295" s="1">
        <f>Table1[[#This Row],[avg_salary]]*1000</f>
        <v>81000</v>
      </c>
    </row>
    <row r="296" spans="1:37" x14ac:dyDescent="0.3">
      <c r="A296" s="1">
        <v>369</v>
      </c>
      <c r="B296" s="1" t="s">
        <v>386</v>
      </c>
      <c r="C296" s="1" t="s">
        <v>935</v>
      </c>
      <c r="D296" s="4">
        <v>100000</v>
      </c>
      <c r="E296" s="4">
        <v>166000</v>
      </c>
      <c r="F296" s="4">
        <v>133000</v>
      </c>
      <c r="G296" s="1" t="s">
        <v>1203</v>
      </c>
      <c r="H296" t="s">
        <v>1444</v>
      </c>
      <c r="I296" s="1" t="s">
        <v>1204</v>
      </c>
      <c r="J296" s="1" t="s">
        <v>780</v>
      </c>
      <c r="K296" s="1" t="s">
        <v>89</v>
      </c>
      <c r="L296" s="1" t="s">
        <v>89</v>
      </c>
      <c r="M296" s="1" t="s">
        <v>54</v>
      </c>
      <c r="N296" s="1" t="s">
        <v>387</v>
      </c>
      <c r="O296" s="1" t="s">
        <v>120</v>
      </c>
      <c r="P296">
        <v>28</v>
      </c>
      <c r="Q296" s="1">
        <v>1</v>
      </c>
      <c r="R296" s="1">
        <v>0</v>
      </c>
      <c r="S296" s="1">
        <v>1</v>
      </c>
      <c r="T296" s="1">
        <v>0</v>
      </c>
      <c r="U296" s="1">
        <v>1</v>
      </c>
      <c r="V296" s="1">
        <v>0</v>
      </c>
      <c r="W296" s="1">
        <v>0</v>
      </c>
      <c r="X296" s="1">
        <v>1</v>
      </c>
      <c r="Y296" s="1">
        <v>1</v>
      </c>
      <c r="Z296" s="1">
        <v>1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 t="s">
        <v>306</v>
      </c>
      <c r="AH296" s="1" t="str">
        <f t="shared" si="4"/>
        <v>Sr</v>
      </c>
      <c r="AI296" t="s">
        <v>72</v>
      </c>
      <c r="AJ296" s="4">
        <v>133</v>
      </c>
      <c r="AK296" s="1">
        <f>Table1[[#This Row],[avg_salary]]*1000</f>
        <v>133000</v>
      </c>
    </row>
    <row r="297" spans="1:37" x14ac:dyDescent="0.3">
      <c r="A297" s="1">
        <v>370</v>
      </c>
      <c r="B297" s="1" t="s">
        <v>491</v>
      </c>
      <c r="C297" s="1" t="s">
        <v>992</v>
      </c>
      <c r="D297" s="4">
        <v>55000</v>
      </c>
      <c r="E297" s="4">
        <v>99000</v>
      </c>
      <c r="F297" s="4">
        <v>77000</v>
      </c>
      <c r="G297" s="1" t="s">
        <v>1223</v>
      </c>
      <c r="H297" t="s">
        <v>1449</v>
      </c>
      <c r="I297" s="1" t="s">
        <v>1224</v>
      </c>
      <c r="J297" s="1" t="s">
        <v>93</v>
      </c>
      <c r="K297" s="1" t="s">
        <v>143</v>
      </c>
      <c r="L297" s="1" t="s">
        <v>74</v>
      </c>
      <c r="M297" s="1" t="s">
        <v>84</v>
      </c>
      <c r="N297" s="1" t="s">
        <v>245</v>
      </c>
      <c r="O297" s="1" t="s">
        <v>162</v>
      </c>
      <c r="P297">
        <v>23</v>
      </c>
      <c r="Q297" s="1">
        <v>0</v>
      </c>
      <c r="R297" s="1">
        <v>0</v>
      </c>
      <c r="S297" s="1">
        <v>0</v>
      </c>
      <c r="T297" s="1">
        <v>1</v>
      </c>
      <c r="U297" s="1">
        <v>1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</v>
      </c>
      <c r="AC297" s="1">
        <v>0</v>
      </c>
      <c r="AD297" s="1">
        <v>0</v>
      </c>
      <c r="AE297" s="1">
        <v>0</v>
      </c>
      <c r="AF297" s="1">
        <v>0</v>
      </c>
      <c r="AG297" s="1" t="s">
        <v>88</v>
      </c>
      <c r="AH297" s="1" t="str">
        <f t="shared" si="4"/>
        <v>Jr</v>
      </c>
      <c r="AI297" t="s">
        <v>34</v>
      </c>
      <c r="AJ297" s="4">
        <v>77</v>
      </c>
      <c r="AK297" s="1">
        <f>Table1[[#This Row],[avg_salary]]*1000</f>
        <v>77000</v>
      </c>
    </row>
    <row r="298" spans="1:37" x14ac:dyDescent="0.3">
      <c r="A298" s="1">
        <v>371</v>
      </c>
      <c r="B298" s="1" t="s">
        <v>150</v>
      </c>
      <c r="C298" s="1" t="s">
        <v>993</v>
      </c>
      <c r="D298" s="4">
        <v>67000</v>
      </c>
      <c r="E298" s="4">
        <v>117000</v>
      </c>
      <c r="F298" s="4">
        <v>92000</v>
      </c>
      <c r="G298" s="1" t="s">
        <v>1207</v>
      </c>
      <c r="H298" t="s">
        <v>1440</v>
      </c>
      <c r="I298" s="1" t="s">
        <v>1192</v>
      </c>
      <c r="J298" s="1" t="s">
        <v>781</v>
      </c>
      <c r="K298" s="1" t="s">
        <v>79</v>
      </c>
      <c r="L298" s="1" t="s">
        <v>43</v>
      </c>
      <c r="M298" s="1" t="s">
        <v>58</v>
      </c>
      <c r="N298" s="1" t="s">
        <v>80</v>
      </c>
      <c r="O298" s="1" t="s">
        <v>81</v>
      </c>
      <c r="P298">
        <v>25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 t="s">
        <v>98</v>
      </c>
      <c r="AH298" s="1" t="str">
        <f t="shared" si="4"/>
        <v>Jr</v>
      </c>
      <c r="AI298" t="s">
        <v>72</v>
      </c>
      <c r="AJ298" s="4">
        <v>92</v>
      </c>
      <c r="AK298" s="1">
        <f>Table1[[#This Row],[avg_salary]]*1000</f>
        <v>92000</v>
      </c>
    </row>
    <row r="299" spans="1:37" x14ac:dyDescent="0.3">
      <c r="A299" s="1">
        <v>372</v>
      </c>
      <c r="B299" s="1" t="s">
        <v>492</v>
      </c>
      <c r="C299" s="1" t="s">
        <v>994</v>
      </c>
      <c r="D299" s="4">
        <v>92000</v>
      </c>
      <c r="E299" s="4">
        <v>150000</v>
      </c>
      <c r="F299" s="4">
        <v>121000</v>
      </c>
      <c r="G299" s="1" t="s">
        <v>1195</v>
      </c>
      <c r="H299" t="s">
        <v>1441</v>
      </c>
      <c r="I299" s="1" t="s">
        <v>1196</v>
      </c>
      <c r="J299" s="1" t="s">
        <v>781</v>
      </c>
      <c r="K299" s="1" t="s">
        <v>89</v>
      </c>
      <c r="L299" s="1" t="s">
        <v>89</v>
      </c>
      <c r="M299" s="1" t="s">
        <v>84</v>
      </c>
      <c r="N299" s="1" t="s">
        <v>137</v>
      </c>
      <c r="O299" s="1" t="s">
        <v>91</v>
      </c>
      <c r="P299">
        <v>37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 t="s">
        <v>33</v>
      </c>
      <c r="AH299" s="1" t="str">
        <f t="shared" si="4"/>
        <v>Sr</v>
      </c>
      <c r="AI299" t="s">
        <v>34</v>
      </c>
      <c r="AJ299" s="4">
        <v>121</v>
      </c>
      <c r="AK299" s="1">
        <f>Table1[[#This Row],[avg_salary]]*1000</f>
        <v>121000</v>
      </c>
    </row>
    <row r="300" spans="1:37" x14ac:dyDescent="0.3">
      <c r="A300" s="1">
        <v>375</v>
      </c>
      <c r="B300" s="1" t="s">
        <v>493</v>
      </c>
      <c r="C300" s="1" t="s">
        <v>995</v>
      </c>
      <c r="D300" s="4">
        <v>116000</v>
      </c>
      <c r="E300" s="4">
        <v>209000</v>
      </c>
      <c r="F300" s="4">
        <v>162500</v>
      </c>
      <c r="G300" s="1" t="s">
        <v>1200</v>
      </c>
      <c r="H300" t="s">
        <v>1439</v>
      </c>
      <c r="I300" s="1" t="s">
        <v>1189</v>
      </c>
      <c r="J300" s="1" t="s">
        <v>781</v>
      </c>
      <c r="K300" s="1" t="s">
        <v>145</v>
      </c>
      <c r="L300" s="1" t="s">
        <v>74</v>
      </c>
      <c r="M300" s="1" t="s">
        <v>39</v>
      </c>
      <c r="N300" s="1" t="s">
        <v>272</v>
      </c>
      <c r="O300" s="1" t="s">
        <v>67</v>
      </c>
      <c r="P300">
        <v>18</v>
      </c>
      <c r="Q300" s="1">
        <v>1</v>
      </c>
      <c r="R300" s="1">
        <v>1</v>
      </c>
      <c r="S300" s="1">
        <v>0</v>
      </c>
      <c r="T300" s="1">
        <v>1</v>
      </c>
      <c r="U300" s="1">
        <v>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 t="s">
        <v>98</v>
      </c>
      <c r="AH300" s="1" t="str">
        <f t="shared" si="4"/>
        <v>Sr</v>
      </c>
      <c r="AI300" t="s">
        <v>34</v>
      </c>
      <c r="AJ300" s="4">
        <v>162.5</v>
      </c>
      <c r="AK300" s="1">
        <f>Table1[[#This Row],[avg_salary]]*1000</f>
        <v>162500</v>
      </c>
    </row>
    <row r="301" spans="1:37" x14ac:dyDescent="0.3">
      <c r="A301" s="1">
        <v>376</v>
      </c>
      <c r="B301" s="1" t="s">
        <v>494</v>
      </c>
      <c r="C301" s="1" t="s">
        <v>996</v>
      </c>
      <c r="D301" s="4">
        <v>38000</v>
      </c>
      <c r="E301" s="4">
        <v>82000</v>
      </c>
      <c r="F301" s="4">
        <v>60000</v>
      </c>
      <c r="G301" s="1" t="s">
        <v>1346</v>
      </c>
      <c r="H301" t="s">
        <v>1438</v>
      </c>
      <c r="I301" s="1" t="s">
        <v>1186</v>
      </c>
      <c r="J301" s="1" t="s">
        <v>107</v>
      </c>
      <c r="K301" s="1" t="s">
        <v>79</v>
      </c>
      <c r="L301" s="1" t="s">
        <v>43</v>
      </c>
      <c r="M301" s="1" t="s">
        <v>50</v>
      </c>
      <c r="N301" s="1" t="s">
        <v>495</v>
      </c>
      <c r="O301" s="1" t="s">
        <v>60</v>
      </c>
      <c r="P301">
        <v>31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 t="s">
        <v>71</v>
      </c>
      <c r="AH301" s="1" t="str">
        <f t="shared" si="4"/>
        <v>Jr</v>
      </c>
      <c r="AI301" t="s">
        <v>34</v>
      </c>
      <c r="AJ301" s="4">
        <v>60</v>
      </c>
      <c r="AK301" s="1">
        <f>Table1[[#This Row],[avg_salary]]*1000</f>
        <v>60000</v>
      </c>
    </row>
    <row r="302" spans="1:37" x14ac:dyDescent="0.3">
      <c r="A302" s="1">
        <v>377</v>
      </c>
      <c r="B302" s="1" t="s">
        <v>496</v>
      </c>
      <c r="C302" s="1" t="s">
        <v>1419</v>
      </c>
      <c r="D302" s="4">
        <v>85000</v>
      </c>
      <c r="E302" s="4">
        <v>90000</v>
      </c>
      <c r="F302" s="4">
        <v>87500</v>
      </c>
      <c r="G302" s="1" t="s">
        <v>1200</v>
      </c>
      <c r="H302" t="s">
        <v>1439</v>
      </c>
      <c r="I302" s="1" t="s">
        <v>1189</v>
      </c>
      <c r="J302" s="1" t="s">
        <v>107</v>
      </c>
      <c r="K302" s="1" t="s">
        <v>89</v>
      </c>
      <c r="L302" s="1" t="s">
        <v>74</v>
      </c>
      <c r="M302" s="1" t="s">
        <v>54</v>
      </c>
      <c r="N302" s="1" t="s">
        <v>497</v>
      </c>
      <c r="O302" s="1" t="s">
        <v>67</v>
      </c>
      <c r="P302">
        <v>22</v>
      </c>
      <c r="Q302" s="1">
        <v>1</v>
      </c>
      <c r="R302" s="1">
        <v>0</v>
      </c>
      <c r="S302" s="1">
        <v>0</v>
      </c>
      <c r="T302" s="1">
        <v>1</v>
      </c>
      <c r="U302" s="1">
        <v>1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 t="s">
        <v>1475</v>
      </c>
      <c r="AH302" s="1" t="str">
        <f t="shared" si="4"/>
        <v>Jr</v>
      </c>
      <c r="AI302" t="s">
        <v>34</v>
      </c>
      <c r="AJ302" s="4">
        <v>87.5</v>
      </c>
      <c r="AK302" s="1">
        <f>Table1[[#This Row],[avg_salary]]*1000</f>
        <v>87500</v>
      </c>
    </row>
    <row r="303" spans="1:37" x14ac:dyDescent="0.3">
      <c r="A303" s="1">
        <v>379</v>
      </c>
      <c r="B303" s="1" t="s">
        <v>498</v>
      </c>
      <c r="C303" s="1" t="s">
        <v>997</v>
      </c>
      <c r="D303" s="4">
        <v>62000</v>
      </c>
      <c r="E303" s="4">
        <v>119000</v>
      </c>
      <c r="F303" s="4">
        <v>90500</v>
      </c>
      <c r="G303" s="1" t="s">
        <v>1247</v>
      </c>
      <c r="H303" t="s">
        <v>1455</v>
      </c>
      <c r="I303" s="1" t="s">
        <v>1248</v>
      </c>
      <c r="J303" s="1" t="s">
        <v>780</v>
      </c>
      <c r="K303" s="1" t="s">
        <v>103</v>
      </c>
      <c r="L303" s="1" t="s">
        <v>74</v>
      </c>
      <c r="M303" s="1" t="s">
        <v>54</v>
      </c>
      <c r="N303" s="1" t="s">
        <v>206</v>
      </c>
      <c r="O303" s="1" t="s">
        <v>207</v>
      </c>
      <c r="P303">
        <v>21</v>
      </c>
      <c r="Q303" s="1">
        <v>1</v>
      </c>
      <c r="R303" s="1">
        <v>1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 t="s">
        <v>98</v>
      </c>
      <c r="AH303" s="1" t="str">
        <f t="shared" si="4"/>
        <v>Jr</v>
      </c>
      <c r="AI303" t="s">
        <v>72</v>
      </c>
      <c r="AJ303" s="4">
        <v>90.5</v>
      </c>
      <c r="AK303" s="1">
        <f>Table1[[#This Row],[avg_salary]]*1000</f>
        <v>90500</v>
      </c>
    </row>
    <row r="304" spans="1:37" x14ac:dyDescent="0.3">
      <c r="A304" s="1">
        <v>380</v>
      </c>
      <c r="B304" s="1" t="s">
        <v>136</v>
      </c>
      <c r="C304" s="1" t="s">
        <v>786</v>
      </c>
      <c r="D304" s="4">
        <v>86000</v>
      </c>
      <c r="E304" s="4">
        <v>143000</v>
      </c>
      <c r="F304" s="4">
        <v>114500</v>
      </c>
      <c r="G304" s="1" t="s">
        <v>1195</v>
      </c>
      <c r="H304" t="s">
        <v>1441</v>
      </c>
      <c r="I304" s="1" t="s">
        <v>1196</v>
      </c>
      <c r="J304" s="1" t="s">
        <v>781</v>
      </c>
      <c r="K304" s="1" t="s">
        <v>89</v>
      </c>
      <c r="L304" s="1" t="s">
        <v>89</v>
      </c>
      <c r="M304" s="1" t="s">
        <v>84</v>
      </c>
      <c r="N304" s="1" t="s">
        <v>137</v>
      </c>
      <c r="O304" s="1" t="s">
        <v>91</v>
      </c>
      <c r="P304">
        <v>22</v>
      </c>
      <c r="Q304" s="1">
        <v>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 t="s">
        <v>33</v>
      </c>
      <c r="AH304" s="1" t="str">
        <f t="shared" si="4"/>
        <v>Sr</v>
      </c>
      <c r="AI304" t="s">
        <v>34</v>
      </c>
      <c r="AJ304" s="4">
        <v>114.5</v>
      </c>
      <c r="AK304" s="1">
        <f>Table1[[#This Row],[avg_salary]]*1000</f>
        <v>114500</v>
      </c>
    </row>
    <row r="305" spans="1:37" x14ac:dyDescent="0.3">
      <c r="A305" s="1">
        <v>381</v>
      </c>
      <c r="B305" s="1" t="s">
        <v>28</v>
      </c>
      <c r="C305" s="1" t="s">
        <v>811</v>
      </c>
      <c r="D305" s="4">
        <v>93000</v>
      </c>
      <c r="E305" s="4">
        <v>149000</v>
      </c>
      <c r="F305" s="4">
        <v>121000</v>
      </c>
      <c r="G305" s="1" t="s">
        <v>1215</v>
      </c>
      <c r="H305" t="s">
        <v>1439</v>
      </c>
      <c r="I305" s="1" t="s">
        <v>1189</v>
      </c>
      <c r="J305" s="1" t="s">
        <v>781</v>
      </c>
      <c r="K305" s="1" t="s">
        <v>138</v>
      </c>
      <c r="L305" s="1" t="s">
        <v>139</v>
      </c>
      <c r="M305" s="1" t="s">
        <v>39</v>
      </c>
      <c r="N305" s="1" t="s">
        <v>140</v>
      </c>
      <c r="O305" s="1" t="s">
        <v>67</v>
      </c>
      <c r="P305">
        <v>33</v>
      </c>
      <c r="Q305" s="1">
        <v>1</v>
      </c>
      <c r="R305" s="1">
        <v>1</v>
      </c>
      <c r="S305" s="1">
        <v>0</v>
      </c>
      <c r="T305" s="1">
        <v>1</v>
      </c>
      <c r="U305" s="1">
        <v>1</v>
      </c>
      <c r="V305" s="1">
        <v>0</v>
      </c>
      <c r="W305" s="1">
        <v>1</v>
      </c>
      <c r="X305" s="1">
        <v>0</v>
      </c>
      <c r="Y305" s="1">
        <v>1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1</v>
      </c>
      <c r="AF305" s="1">
        <v>0</v>
      </c>
      <c r="AG305" s="1" t="s">
        <v>33</v>
      </c>
      <c r="AH305" s="1" t="str">
        <f t="shared" si="4"/>
        <v>Sr</v>
      </c>
      <c r="AI305" t="s">
        <v>34</v>
      </c>
      <c r="AJ305" s="4">
        <v>121</v>
      </c>
      <c r="AK305" s="1">
        <f>Table1[[#This Row],[avg_salary]]*1000</f>
        <v>121000</v>
      </c>
    </row>
    <row r="306" spans="1:37" x14ac:dyDescent="0.3">
      <c r="A306" s="1">
        <v>382</v>
      </c>
      <c r="B306" s="1" t="s">
        <v>148</v>
      </c>
      <c r="C306" s="1" t="s">
        <v>998</v>
      </c>
      <c r="D306" s="4">
        <v>84000</v>
      </c>
      <c r="E306" s="4">
        <v>136000</v>
      </c>
      <c r="F306" s="4">
        <v>110000</v>
      </c>
      <c r="G306" s="1" t="s">
        <v>1185</v>
      </c>
      <c r="H306" t="s">
        <v>1438</v>
      </c>
      <c r="I306" s="1" t="s">
        <v>1186</v>
      </c>
      <c r="J306" s="1" t="s">
        <v>93</v>
      </c>
      <c r="K306" s="1" t="s">
        <v>53</v>
      </c>
      <c r="L306" s="1" t="s">
        <v>43</v>
      </c>
      <c r="M306" s="1" t="s">
        <v>30</v>
      </c>
      <c r="N306" s="1" t="s">
        <v>499</v>
      </c>
      <c r="O306" s="1" t="s">
        <v>60</v>
      </c>
      <c r="P306">
        <v>35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 t="s">
        <v>33</v>
      </c>
      <c r="AH306" s="1" t="str">
        <f t="shared" si="4"/>
        <v>Jr</v>
      </c>
      <c r="AI306" t="s">
        <v>34</v>
      </c>
      <c r="AJ306" s="4">
        <v>110</v>
      </c>
      <c r="AK306" s="1">
        <f>Table1[[#This Row],[avg_salary]]*1000</f>
        <v>110000</v>
      </c>
    </row>
    <row r="307" spans="1:37" x14ac:dyDescent="0.3">
      <c r="A307" s="1">
        <v>383</v>
      </c>
      <c r="B307" s="1" t="s">
        <v>384</v>
      </c>
      <c r="C307" s="1" t="s">
        <v>934</v>
      </c>
      <c r="D307" s="4">
        <v>60000</v>
      </c>
      <c r="E307" s="4">
        <v>123000</v>
      </c>
      <c r="F307" s="4">
        <v>91500</v>
      </c>
      <c r="G307" s="1" t="s">
        <v>1311</v>
      </c>
      <c r="H307" t="s">
        <v>1441</v>
      </c>
      <c r="I307" s="1" t="s">
        <v>1196</v>
      </c>
      <c r="J307" s="1" t="s">
        <v>781</v>
      </c>
      <c r="K307" s="1" t="s">
        <v>89</v>
      </c>
      <c r="L307" s="1" t="s">
        <v>89</v>
      </c>
      <c r="M307" s="1" t="s">
        <v>54</v>
      </c>
      <c r="N307" s="1" t="s">
        <v>385</v>
      </c>
      <c r="O307" s="1" t="s">
        <v>91</v>
      </c>
      <c r="P307">
        <v>18</v>
      </c>
      <c r="Q307" s="1">
        <v>0</v>
      </c>
      <c r="R307" s="1">
        <v>0</v>
      </c>
      <c r="S307" s="1">
        <v>0</v>
      </c>
      <c r="T307" s="1">
        <v>1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 t="s">
        <v>71</v>
      </c>
      <c r="AH307" s="1" t="str">
        <f t="shared" si="4"/>
        <v>Jr</v>
      </c>
      <c r="AI307" t="s">
        <v>72</v>
      </c>
      <c r="AJ307" s="4">
        <v>91.5</v>
      </c>
      <c r="AK307" s="1">
        <f>Table1[[#This Row],[avg_salary]]*1000</f>
        <v>91500</v>
      </c>
    </row>
    <row r="308" spans="1:37" x14ac:dyDescent="0.3">
      <c r="A308" s="1">
        <v>384</v>
      </c>
      <c r="B308" s="1" t="s">
        <v>500</v>
      </c>
      <c r="C308" s="1" t="s">
        <v>999</v>
      </c>
      <c r="D308" s="4">
        <v>52000</v>
      </c>
      <c r="E308" s="4">
        <v>89000</v>
      </c>
      <c r="F308" s="4">
        <v>70500</v>
      </c>
      <c r="G308" s="1" t="s">
        <v>1347</v>
      </c>
      <c r="H308" t="s">
        <v>1440</v>
      </c>
      <c r="I308" s="1" t="s">
        <v>1192</v>
      </c>
      <c r="J308" s="1" t="s">
        <v>781</v>
      </c>
      <c r="K308" s="1" t="s">
        <v>79</v>
      </c>
      <c r="L308" s="1" t="s">
        <v>43</v>
      </c>
      <c r="M308" s="1" t="s">
        <v>58</v>
      </c>
      <c r="N308" s="1" t="s">
        <v>80</v>
      </c>
      <c r="O308" s="1" t="s">
        <v>81</v>
      </c>
      <c r="P308">
        <v>38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 t="s">
        <v>88</v>
      </c>
      <c r="AH308" s="1" t="str">
        <f t="shared" si="4"/>
        <v>Jr</v>
      </c>
      <c r="AI308" t="s">
        <v>34</v>
      </c>
      <c r="AJ308" s="4">
        <v>70.5</v>
      </c>
      <c r="AK308" s="1">
        <f>Table1[[#This Row],[avg_salary]]*1000</f>
        <v>70500</v>
      </c>
    </row>
    <row r="309" spans="1:37" x14ac:dyDescent="0.3">
      <c r="A309" s="1">
        <v>386</v>
      </c>
      <c r="B309" s="1" t="s">
        <v>150</v>
      </c>
      <c r="C309" s="1" t="s">
        <v>937</v>
      </c>
      <c r="D309" s="4">
        <v>48000</v>
      </c>
      <c r="E309" s="4">
        <v>93000</v>
      </c>
      <c r="F309" s="4">
        <v>70500</v>
      </c>
      <c r="G309" s="1" t="s">
        <v>1313</v>
      </c>
      <c r="H309" t="s">
        <v>1456</v>
      </c>
      <c r="I309" s="1" t="s">
        <v>1259</v>
      </c>
      <c r="J309" s="1" t="s">
        <v>780</v>
      </c>
      <c r="K309" s="1" t="s">
        <v>145</v>
      </c>
      <c r="L309" s="1" t="s">
        <v>74</v>
      </c>
      <c r="M309" s="1" t="s">
        <v>54</v>
      </c>
      <c r="N309" s="1" t="s">
        <v>390</v>
      </c>
      <c r="O309" s="1" t="s">
        <v>234</v>
      </c>
      <c r="P309">
        <v>24</v>
      </c>
      <c r="Q309" s="1">
        <v>0</v>
      </c>
      <c r="R309" s="1">
        <v>0</v>
      </c>
      <c r="S309" s="1">
        <v>0</v>
      </c>
      <c r="T309" s="1">
        <v>1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 t="s">
        <v>98</v>
      </c>
      <c r="AH309" s="1" t="str">
        <f t="shared" si="4"/>
        <v>Jr</v>
      </c>
      <c r="AI309" t="s">
        <v>34</v>
      </c>
      <c r="AJ309" s="4">
        <v>70.5</v>
      </c>
      <c r="AK309" s="1">
        <f>Table1[[#This Row],[avg_salary]]*1000</f>
        <v>70500</v>
      </c>
    </row>
    <row r="310" spans="1:37" x14ac:dyDescent="0.3">
      <c r="A310" s="1">
        <v>387</v>
      </c>
      <c r="B310" s="1" t="s">
        <v>501</v>
      </c>
      <c r="C310" s="1" t="s">
        <v>785</v>
      </c>
      <c r="D310" s="4">
        <v>56000</v>
      </c>
      <c r="E310" s="4">
        <v>97000</v>
      </c>
      <c r="F310" s="4">
        <v>76500</v>
      </c>
      <c r="G310" s="1" t="s">
        <v>1181</v>
      </c>
      <c r="H310" t="s">
        <v>1223</v>
      </c>
      <c r="I310" s="1" t="s">
        <v>1182</v>
      </c>
      <c r="J310" s="1" t="s">
        <v>47</v>
      </c>
      <c r="K310" s="1" t="s">
        <v>48</v>
      </c>
      <c r="L310" s="1" t="s">
        <v>49</v>
      </c>
      <c r="M310" s="1" t="s">
        <v>50</v>
      </c>
      <c r="N310" s="1" t="s">
        <v>51</v>
      </c>
      <c r="O310" s="1" t="s">
        <v>52</v>
      </c>
      <c r="P310">
        <v>24</v>
      </c>
      <c r="Q310" s="1">
        <v>1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 t="s">
        <v>33</v>
      </c>
      <c r="AH310" s="1" t="str">
        <f t="shared" si="4"/>
        <v>Jr</v>
      </c>
      <c r="AI310" t="s">
        <v>72</v>
      </c>
      <c r="AJ310" s="4">
        <v>76.5</v>
      </c>
      <c r="AK310" s="1">
        <f>Table1[[#This Row],[avg_salary]]*1000</f>
        <v>76500</v>
      </c>
    </row>
    <row r="311" spans="1:37" x14ac:dyDescent="0.3">
      <c r="A311" s="1">
        <v>388</v>
      </c>
      <c r="B311" s="1" t="s">
        <v>150</v>
      </c>
      <c r="C311" s="1" t="s">
        <v>1000</v>
      </c>
      <c r="D311" s="4">
        <v>65000</v>
      </c>
      <c r="E311" s="4">
        <v>119000</v>
      </c>
      <c r="F311" s="4">
        <v>92000</v>
      </c>
      <c r="G311" s="1" t="s">
        <v>1309</v>
      </c>
      <c r="H311" t="s">
        <v>1441</v>
      </c>
      <c r="I311" s="1" t="s">
        <v>1196</v>
      </c>
      <c r="J311" s="1" t="s">
        <v>780</v>
      </c>
      <c r="K311" s="1" t="s">
        <v>108</v>
      </c>
      <c r="L311" s="1" t="s">
        <v>109</v>
      </c>
      <c r="M311" s="1" t="s">
        <v>84</v>
      </c>
      <c r="N311" s="1" t="s">
        <v>338</v>
      </c>
      <c r="O311" s="1" t="s">
        <v>91</v>
      </c>
      <c r="P311">
        <v>23</v>
      </c>
      <c r="Q311" s="1">
        <v>1</v>
      </c>
      <c r="R311" s="1">
        <v>1</v>
      </c>
      <c r="S311" s="1">
        <v>0</v>
      </c>
      <c r="T311" s="1">
        <v>1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 t="s">
        <v>98</v>
      </c>
      <c r="AH311" s="1" t="str">
        <f t="shared" si="4"/>
        <v>Jr</v>
      </c>
      <c r="AI311" t="s">
        <v>72</v>
      </c>
      <c r="AJ311" s="4">
        <v>92</v>
      </c>
      <c r="AK311" s="1">
        <f>Table1[[#This Row],[avg_salary]]*1000</f>
        <v>92000</v>
      </c>
    </row>
    <row r="312" spans="1:37" x14ac:dyDescent="0.3">
      <c r="A312" s="1">
        <v>390</v>
      </c>
      <c r="B312" s="1" t="s">
        <v>388</v>
      </c>
      <c r="C312" s="1" t="s">
        <v>936</v>
      </c>
      <c r="D312" s="4">
        <v>108000</v>
      </c>
      <c r="E312" s="4">
        <v>173000</v>
      </c>
      <c r="F312" s="4">
        <v>140500</v>
      </c>
      <c r="G312" s="1" t="s">
        <v>1312</v>
      </c>
      <c r="H312" t="s">
        <v>1462</v>
      </c>
      <c r="I312" s="1" t="s">
        <v>1293</v>
      </c>
      <c r="J312" s="1" t="s">
        <v>780</v>
      </c>
      <c r="K312" s="1" t="s">
        <v>89</v>
      </c>
      <c r="L312" s="1" t="s">
        <v>89</v>
      </c>
      <c r="M312" s="1" t="s">
        <v>100</v>
      </c>
      <c r="N312" s="1" t="s">
        <v>389</v>
      </c>
      <c r="O312" s="1" t="s">
        <v>318</v>
      </c>
      <c r="P312">
        <v>43</v>
      </c>
      <c r="Q312" s="1">
        <v>1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1</v>
      </c>
      <c r="X312" s="1">
        <v>1</v>
      </c>
      <c r="Y312" s="1">
        <v>1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 t="s">
        <v>33</v>
      </c>
      <c r="AH312" s="1" t="str">
        <f t="shared" si="4"/>
        <v>Sr</v>
      </c>
      <c r="AI312" t="s">
        <v>34</v>
      </c>
      <c r="AJ312" s="4">
        <v>140.5</v>
      </c>
      <c r="AK312" s="1">
        <f>Table1[[#This Row],[avg_salary]]*1000</f>
        <v>140500</v>
      </c>
    </row>
    <row r="313" spans="1:37" x14ac:dyDescent="0.3">
      <c r="A313" s="1">
        <v>391</v>
      </c>
      <c r="B313" s="1" t="s">
        <v>502</v>
      </c>
      <c r="C313" s="1" t="s">
        <v>1001</v>
      </c>
      <c r="D313" s="4">
        <v>63000</v>
      </c>
      <c r="E313" s="4">
        <v>101000</v>
      </c>
      <c r="F313" s="4">
        <v>82000</v>
      </c>
      <c r="G313" s="1" t="s">
        <v>1255</v>
      </c>
      <c r="H313" t="s">
        <v>1440</v>
      </c>
      <c r="I313" s="1" t="s">
        <v>1192</v>
      </c>
      <c r="J313" s="1" t="s">
        <v>780</v>
      </c>
      <c r="K313" s="1" t="s">
        <v>145</v>
      </c>
      <c r="L313" s="1" t="s">
        <v>74</v>
      </c>
      <c r="M313" s="1" t="s">
        <v>58</v>
      </c>
      <c r="N313" s="1" t="s">
        <v>146</v>
      </c>
      <c r="O313" s="1" t="s">
        <v>81</v>
      </c>
      <c r="P313">
        <v>37</v>
      </c>
      <c r="Q313" s="1">
        <v>1</v>
      </c>
      <c r="R313" s="1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 t="s">
        <v>33</v>
      </c>
      <c r="AH313" s="1" t="str">
        <f t="shared" si="4"/>
        <v>Jr</v>
      </c>
      <c r="AI313" t="s">
        <v>34</v>
      </c>
      <c r="AJ313" s="4">
        <v>82</v>
      </c>
      <c r="AK313" s="1">
        <f>Table1[[#This Row],[avg_salary]]*1000</f>
        <v>82000</v>
      </c>
    </row>
    <row r="314" spans="1:37" x14ac:dyDescent="0.3">
      <c r="A314" s="1">
        <v>392</v>
      </c>
      <c r="B314" s="1" t="s">
        <v>391</v>
      </c>
      <c r="C314" s="1" t="s">
        <v>938</v>
      </c>
      <c r="D314" s="4">
        <v>54000</v>
      </c>
      <c r="E314" s="4">
        <v>115000</v>
      </c>
      <c r="F314" s="4">
        <v>84500</v>
      </c>
      <c r="G314" s="1" t="s">
        <v>1190</v>
      </c>
      <c r="H314" t="s">
        <v>1183</v>
      </c>
      <c r="I314" s="1" t="s">
        <v>1184</v>
      </c>
      <c r="J314" s="1" t="s">
        <v>69</v>
      </c>
      <c r="K314" s="1" t="s">
        <v>37</v>
      </c>
      <c r="L314" s="1" t="s">
        <v>38</v>
      </c>
      <c r="M314" s="1" t="s">
        <v>50</v>
      </c>
      <c r="N314" s="1" t="s">
        <v>70</v>
      </c>
      <c r="O314" s="1" t="s">
        <v>56</v>
      </c>
      <c r="P314">
        <v>32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 t="s">
        <v>71</v>
      </c>
      <c r="AH314" s="1" t="str">
        <f t="shared" si="4"/>
        <v>Jr</v>
      </c>
      <c r="AI314" t="s">
        <v>72</v>
      </c>
      <c r="AJ314" s="4">
        <v>84.5</v>
      </c>
      <c r="AK314" s="1">
        <f>Table1[[#This Row],[avg_salary]]*1000</f>
        <v>84500</v>
      </c>
    </row>
    <row r="315" spans="1:37" x14ac:dyDescent="0.3">
      <c r="A315" s="1">
        <v>394</v>
      </c>
      <c r="B315" s="1" t="s">
        <v>394</v>
      </c>
      <c r="C315" s="1" t="s">
        <v>940</v>
      </c>
      <c r="D315" s="4">
        <v>90000</v>
      </c>
      <c r="E315" s="4">
        <v>179000</v>
      </c>
      <c r="F315" s="4">
        <v>134500</v>
      </c>
      <c r="G315" s="1" t="s">
        <v>1195</v>
      </c>
      <c r="H315" t="s">
        <v>1441</v>
      </c>
      <c r="I315" s="1" t="s">
        <v>1196</v>
      </c>
      <c r="J315" s="1" t="s">
        <v>781</v>
      </c>
      <c r="K315" s="1" t="s">
        <v>89</v>
      </c>
      <c r="L315" s="1" t="s">
        <v>89</v>
      </c>
      <c r="M315" s="1" t="s">
        <v>44</v>
      </c>
      <c r="N315" s="1" t="s">
        <v>356</v>
      </c>
      <c r="O315" s="1" t="s">
        <v>91</v>
      </c>
      <c r="P315">
        <v>22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 t="s">
        <v>71</v>
      </c>
      <c r="AH315" s="1" t="str">
        <f t="shared" si="4"/>
        <v>Sr</v>
      </c>
      <c r="AI315" t="s">
        <v>72</v>
      </c>
      <c r="AJ315" s="4">
        <v>134.5</v>
      </c>
      <c r="AK315" s="1">
        <f>Table1[[#This Row],[avg_salary]]*1000</f>
        <v>134500</v>
      </c>
    </row>
    <row r="316" spans="1:37" x14ac:dyDescent="0.3">
      <c r="A316" s="1">
        <v>396</v>
      </c>
      <c r="B316" s="1" t="s">
        <v>28</v>
      </c>
      <c r="C316" s="1" t="s">
        <v>1002</v>
      </c>
      <c r="D316" s="4">
        <v>127000</v>
      </c>
      <c r="E316" s="4">
        <v>202000</v>
      </c>
      <c r="F316" s="4">
        <v>164500</v>
      </c>
      <c r="G316" s="1" t="s">
        <v>1200</v>
      </c>
      <c r="H316" t="s">
        <v>1439</v>
      </c>
      <c r="I316" s="1" t="s">
        <v>1189</v>
      </c>
      <c r="J316" s="1" t="s">
        <v>780</v>
      </c>
      <c r="K316" s="1" t="s">
        <v>53</v>
      </c>
      <c r="L316" s="1" t="s">
        <v>43</v>
      </c>
      <c r="M316" s="1" t="s">
        <v>54</v>
      </c>
      <c r="N316" s="1" t="s">
        <v>503</v>
      </c>
      <c r="O316" s="1" t="s">
        <v>67</v>
      </c>
      <c r="P316">
        <v>33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 t="s">
        <v>33</v>
      </c>
      <c r="AH316" s="1" t="str">
        <f t="shared" si="4"/>
        <v>Sr</v>
      </c>
      <c r="AI316" t="s">
        <v>34</v>
      </c>
      <c r="AJ316" s="4">
        <v>164.5</v>
      </c>
      <c r="AK316" s="1">
        <f>Table1[[#This Row],[avg_salary]]*1000</f>
        <v>164500</v>
      </c>
    </row>
    <row r="317" spans="1:37" x14ac:dyDescent="0.3">
      <c r="A317" s="1">
        <v>397</v>
      </c>
      <c r="B317" s="1" t="s">
        <v>504</v>
      </c>
      <c r="C317" s="1" t="s">
        <v>1003</v>
      </c>
      <c r="D317" s="4">
        <v>31000</v>
      </c>
      <c r="E317" s="4">
        <v>57000</v>
      </c>
      <c r="F317" s="4">
        <v>44000</v>
      </c>
      <c r="G317" s="1" t="s">
        <v>1348</v>
      </c>
      <c r="H317" t="s">
        <v>1437</v>
      </c>
      <c r="I317" s="1" t="s">
        <v>1180</v>
      </c>
      <c r="J317" s="1" t="s">
        <v>781</v>
      </c>
      <c r="K317" s="1" t="s">
        <v>505</v>
      </c>
      <c r="L317" s="1" t="s">
        <v>139</v>
      </c>
      <c r="M317" s="1" t="s">
        <v>30</v>
      </c>
      <c r="N317" s="1" t="s">
        <v>506</v>
      </c>
      <c r="O317" s="1" t="s">
        <v>46</v>
      </c>
      <c r="P317">
        <v>21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 t="s">
        <v>88</v>
      </c>
      <c r="AH317" s="1" t="str">
        <f t="shared" si="4"/>
        <v>Jr</v>
      </c>
      <c r="AI317" t="s">
        <v>34</v>
      </c>
      <c r="AJ317" s="4">
        <v>44</v>
      </c>
      <c r="AK317" s="1">
        <f>Table1[[#This Row],[avg_salary]]*1000</f>
        <v>44000</v>
      </c>
    </row>
    <row r="318" spans="1:37" x14ac:dyDescent="0.3">
      <c r="A318" s="1">
        <v>398</v>
      </c>
      <c r="B318" s="1" t="s">
        <v>392</v>
      </c>
      <c r="C318" s="1" t="s">
        <v>939</v>
      </c>
      <c r="D318" s="4">
        <v>60000</v>
      </c>
      <c r="E318" s="4">
        <v>127000</v>
      </c>
      <c r="F318" s="4">
        <v>93500</v>
      </c>
      <c r="G318" s="1" t="s">
        <v>1314</v>
      </c>
      <c r="H318" t="s">
        <v>1436</v>
      </c>
      <c r="I318" s="1" t="s">
        <v>1178</v>
      </c>
      <c r="J318" s="1" t="s">
        <v>780</v>
      </c>
      <c r="K318" s="1" t="s">
        <v>145</v>
      </c>
      <c r="L318" s="1" t="s">
        <v>74</v>
      </c>
      <c r="M318" s="1" t="s">
        <v>201</v>
      </c>
      <c r="N318" s="1" t="s">
        <v>393</v>
      </c>
      <c r="O318" s="1" t="s">
        <v>41</v>
      </c>
      <c r="P318">
        <v>23</v>
      </c>
      <c r="Q318" s="1">
        <v>0</v>
      </c>
      <c r="R318" s="1">
        <v>0</v>
      </c>
      <c r="S318" s="1">
        <v>0</v>
      </c>
      <c r="T318" s="1">
        <v>1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 t="s">
        <v>1474</v>
      </c>
      <c r="AH318" s="1" t="str">
        <f t="shared" si="4"/>
        <v>Jr</v>
      </c>
      <c r="AI318" t="s">
        <v>34</v>
      </c>
      <c r="AJ318" s="4">
        <v>93.5</v>
      </c>
      <c r="AK318" s="1">
        <f>Table1[[#This Row],[avg_salary]]*1000</f>
        <v>93500</v>
      </c>
    </row>
    <row r="319" spans="1:37" x14ac:dyDescent="0.3">
      <c r="A319" s="1">
        <v>399</v>
      </c>
      <c r="B319" s="1" t="s">
        <v>150</v>
      </c>
      <c r="C319" s="1" t="s">
        <v>1004</v>
      </c>
      <c r="D319" s="4">
        <v>75000</v>
      </c>
      <c r="E319" s="4">
        <v>143000</v>
      </c>
      <c r="F319" s="4">
        <v>109000</v>
      </c>
      <c r="G319" s="1" t="s">
        <v>1207</v>
      </c>
      <c r="H319" t="s">
        <v>1440</v>
      </c>
      <c r="I319" s="1" t="s">
        <v>1192</v>
      </c>
      <c r="J319" s="1" t="s">
        <v>780</v>
      </c>
      <c r="K319" s="1" t="s">
        <v>103</v>
      </c>
      <c r="L319" s="1" t="s">
        <v>74</v>
      </c>
      <c r="M319" s="1" t="s">
        <v>54</v>
      </c>
      <c r="N319" s="1" t="s">
        <v>206</v>
      </c>
      <c r="O319" s="1" t="s">
        <v>81</v>
      </c>
      <c r="P319">
        <v>40</v>
      </c>
      <c r="Q319" s="1">
        <v>1</v>
      </c>
      <c r="R319" s="1">
        <v>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 t="s">
        <v>98</v>
      </c>
      <c r="AH319" s="1" t="str">
        <f t="shared" si="4"/>
        <v>Jr</v>
      </c>
      <c r="AI319" t="s">
        <v>72</v>
      </c>
      <c r="AJ319" s="4">
        <v>109</v>
      </c>
      <c r="AK319" s="1">
        <f>Table1[[#This Row],[avg_salary]]*1000</f>
        <v>109000</v>
      </c>
    </row>
    <row r="320" spans="1:37" x14ac:dyDescent="0.3">
      <c r="A320" s="1">
        <v>400</v>
      </c>
      <c r="B320" s="1" t="s">
        <v>507</v>
      </c>
      <c r="C320" s="1" t="s">
        <v>1005</v>
      </c>
      <c r="D320" s="4">
        <v>105000</v>
      </c>
      <c r="E320" s="4">
        <v>194000</v>
      </c>
      <c r="F320" s="4">
        <v>149500</v>
      </c>
      <c r="G320" s="1" t="s">
        <v>1331</v>
      </c>
      <c r="H320" t="s">
        <v>1438</v>
      </c>
      <c r="I320" s="1" t="s">
        <v>1186</v>
      </c>
      <c r="J320" s="1" t="s">
        <v>780</v>
      </c>
      <c r="K320" s="1" t="s">
        <v>145</v>
      </c>
      <c r="L320" s="1" t="s">
        <v>74</v>
      </c>
      <c r="M320" s="1" t="s">
        <v>54</v>
      </c>
      <c r="N320" s="1" t="s">
        <v>508</v>
      </c>
      <c r="O320" s="1" t="s">
        <v>60</v>
      </c>
      <c r="P320">
        <v>55</v>
      </c>
      <c r="Q320" s="1">
        <v>0</v>
      </c>
      <c r="R320" s="1">
        <v>1</v>
      </c>
      <c r="S320" s="1">
        <v>1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 t="s">
        <v>98</v>
      </c>
      <c r="AH320" s="1" t="str">
        <f t="shared" si="4"/>
        <v>Sr</v>
      </c>
      <c r="AI320" t="s">
        <v>34</v>
      </c>
      <c r="AJ320" s="4">
        <v>149.5</v>
      </c>
      <c r="AK320" s="1">
        <f>Table1[[#This Row],[avg_salary]]*1000</f>
        <v>149500</v>
      </c>
    </row>
    <row r="321" spans="1:37" x14ac:dyDescent="0.3">
      <c r="A321" s="1">
        <v>401</v>
      </c>
      <c r="B321" s="1" t="s">
        <v>509</v>
      </c>
      <c r="C321" s="1" t="s">
        <v>1006</v>
      </c>
      <c r="D321" s="4">
        <v>45000</v>
      </c>
      <c r="E321" s="4">
        <v>86000</v>
      </c>
      <c r="F321" s="4">
        <v>65500</v>
      </c>
      <c r="G321" s="1" t="s">
        <v>1223</v>
      </c>
      <c r="H321" t="s">
        <v>1449</v>
      </c>
      <c r="I321" s="1" t="s">
        <v>1224</v>
      </c>
      <c r="J321" s="1" t="s">
        <v>780</v>
      </c>
      <c r="K321" s="1" t="s">
        <v>79</v>
      </c>
      <c r="L321" s="1" t="s">
        <v>43</v>
      </c>
      <c r="M321" s="1" t="s">
        <v>54</v>
      </c>
      <c r="N321" s="1" t="s">
        <v>510</v>
      </c>
      <c r="O321" s="1" t="s">
        <v>162</v>
      </c>
      <c r="P321">
        <v>21</v>
      </c>
      <c r="Q321" s="1">
        <v>0</v>
      </c>
      <c r="R321" s="1">
        <v>1</v>
      </c>
      <c r="S321" s="1">
        <v>1</v>
      </c>
      <c r="T321" s="1">
        <v>1</v>
      </c>
      <c r="U321" s="1">
        <v>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 t="s">
        <v>98</v>
      </c>
      <c r="AH321" s="1" t="str">
        <f t="shared" si="4"/>
        <v>Jr</v>
      </c>
      <c r="AI321" t="s">
        <v>34</v>
      </c>
      <c r="AJ321" s="4">
        <v>65.5</v>
      </c>
      <c r="AK321" s="1">
        <f>Table1[[#This Row],[avg_salary]]*1000</f>
        <v>65500</v>
      </c>
    </row>
    <row r="322" spans="1:37" x14ac:dyDescent="0.3">
      <c r="A322" s="1">
        <v>403</v>
      </c>
      <c r="B322" s="1" t="s">
        <v>148</v>
      </c>
      <c r="C322" s="1" t="s">
        <v>1007</v>
      </c>
      <c r="D322" s="4">
        <v>95000</v>
      </c>
      <c r="E322" s="4">
        <v>154000</v>
      </c>
      <c r="F322" s="4">
        <v>124500</v>
      </c>
      <c r="G322" s="1" t="s">
        <v>1270</v>
      </c>
      <c r="H322" t="s">
        <v>1458</v>
      </c>
      <c r="I322" s="1" t="s">
        <v>1271</v>
      </c>
      <c r="J322" s="1" t="s">
        <v>781</v>
      </c>
      <c r="K322" s="1" t="s">
        <v>108</v>
      </c>
      <c r="L322" s="1" t="s">
        <v>109</v>
      </c>
      <c r="M322" s="1" t="s">
        <v>54</v>
      </c>
      <c r="N322" s="1" t="s">
        <v>511</v>
      </c>
      <c r="O322" s="1" t="s">
        <v>259</v>
      </c>
      <c r="P322">
        <v>49</v>
      </c>
      <c r="Q322" s="1">
        <v>1</v>
      </c>
      <c r="R322" s="1">
        <v>1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 t="s">
        <v>33</v>
      </c>
      <c r="AH322" s="1" t="str">
        <f t="shared" ref="AH322:AH385" si="5">IF(VALUE(AJ322) &gt;= 114, "Sr", "Jr")</f>
        <v>Sr</v>
      </c>
      <c r="AI322" t="s">
        <v>34</v>
      </c>
      <c r="AJ322" s="4">
        <v>124.5</v>
      </c>
      <c r="AK322" s="1">
        <f>Table1[[#This Row],[avg_salary]]*1000</f>
        <v>124500</v>
      </c>
    </row>
    <row r="323" spans="1:37" x14ac:dyDescent="0.3">
      <c r="A323" s="1">
        <v>406</v>
      </c>
      <c r="B323" s="1" t="s">
        <v>512</v>
      </c>
      <c r="C323" s="1" t="s">
        <v>1008</v>
      </c>
      <c r="D323" s="4">
        <v>80000</v>
      </c>
      <c r="E323" s="4">
        <v>148000</v>
      </c>
      <c r="F323" s="4">
        <v>114000</v>
      </c>
      <c r="G323" s="1" t="s">
        <v>1188</v>
      </c>
      <c r="H323" t="s">
        <v>1439</v>
      </c>
      <c r="I323" s="1" t="s">
        <v>1189</v>
      </c>
      <c r="J323" s="1" t="s">
        <v>780</v>
      </c>
      <c r="K323" s="1" t="s">
        <v>53</v>
      </c>
      <c r="L323" s="1" t="s">
        <v>43</v>
      </c>
      <c r="M323" s="1" t="s">
        <v>54</v>
      </c>
      <c r="N323" s="1" t="s">
        <v>55</v>
      </c>
      <c r="O323" s="1" t="s">
        <v>67</v>
      </c>
      <c r="P323">
        <v>50</v>
      </c>
      <c r="Q323" s="1">
        <v>1</v>
      </c>
      <c r="R323" s="1">
        <v>1</v>
      </c>
      <c r="S323" s="1">
        <v>0</v>
      </c>
      <c r="T323" s="1">
        <v>0</v>
      </c>
      <c r="U323" s="1">
        <v>1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 t="s">
        <v>98</v>
      </c>
      <c r="AH323" s="1" t="str">
        <f t="shared" si="5"/>
        <v>Sr</v>
      </c>
      <c r="AI323" t="s">
        <v>34</v>
      </c>
      <c r="AJ323" s="4">
        <v>114</v>
      </c>
      <c r="AK323" s="1">
        <f>Table1[[#This Row],[avg_salary]]*1000</f>
        <v>114000</v>
      </c>
    </row>
    <row r="324" spans="1:37" x14ac:dyDescent="0.3">
      <c r="A324" s="1">
        <v>407</v>
      </c>
      <c r="B324" s="1" t="s">
        <v>400</v>
      </c>
      <c r="C324" s="1" t="s">
        <v>1009</v>
      </c>
      <c r="D324" s="4">
        <v>36000</v>
      </c>
      <c r="E324" s="4">
        <v>62000</v>
      </c>
      <c r="F324" s="4">
        <v>49000</v>
      </c>
      <c r="G324" s="1" t="s">
        <v>1349</v>
      </c>
      <c r="H324" t="s">
        <v>1453</v>
      </c>
      <c r="I324" s="1" t="s">
        <v>1241</v>
      </c>
      <c r="J324" s="1" t="s">
        <v>107</v>
      </c>
      <c r="K324" s="1" t="s">
        <v>61</v>
      </c>
      <c r="L324" s="1" t="s">
        <v>62</v>
      </c>
      <c r="M324" s="1" t="s">
        <v>54</v>
      </c>
      <c r="N324" s="1" t="s">
        <v>513</v>
      </c>
      <c r="O324" s="1" t="s">
        <v>194</v>
      </c>
      <c r="P324">
        <v>34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</v>
      </c>
      <c r="AC324" s="1">
        <v>1</v>
      </c>
      <c r="AD324" s="1">
        <v>0</v>
      </c>
      <c r="AE324" s="1">
        <v>0</v>
      </c>
      <c r="AF324" s="1">
        <v>0</v>
      </c>
      <c r="AG324" s="1" t="s">
        <v>88</v>
      </c>
      <c r="AH324" s="1" t="str">
        <f t="shared" si="5"/>
        <v>Jr</v>
      </c>
      <c r="AI324" t="s">
        <v>34</v>
      </c>
      <c r="AJ324" s="4">
        <v>49</v>
      </c>
      <c r="AK324" s="1">
        <f>Table1[[#This Row],[avg_salary]]*1000</f>
        <v>49000</v>
      </c>
    </row>
    <row r="325" spans="1:37" x14ac:dyDescent="0.3">
      <c r="A325" s="1">
        <v>409</v>
      </c>
      <c r="B325" s="1" t="s">
        <v>397</v>
      </c>
      <c r="C325" s="1" t="s">
        <v>938</v>
      </c>
      <c r="D325" s="4">
        <v>54000</v>
      </c>
      <c r="E325" s="4">
        <v>115000</v>
      </c>
      <c r="F325" s="4">
        <v>84500</v>
      </c>
      <c r="G325" s="1" t="s">
        <v>1190</v>
      </c>
      <c r="H325" t="s">
        <v>1183</v>
      </c>
      <c r="I325" s="1" t="s">
        <v>1184</v>
      </c>
      <c r="J325" s="1" t="s">
        <v>69</v>
      </c>
      <c r="K325" s="1" t="s">
        <v>37</v>
      </c>
      <c r="L325" s="1" t="s">
        <v>38</v>
      </c>
      <c r="M325" s="1" t="s">
        <v>50</v>
      </c>
      <c r="N325" s="1" t="s">
        <v>70</v>
      </c>
      <c r="O325" s="1" t="s">
        <v>56</v>
      </c>
      <c r="P325">
        <v>45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 t="s">
        <v>71</v>
      </c>
      <c r="AH325" s="1" t="str">
        <f t="shared" si="5"/>
        <v>Jr</v>
      </c>
      <c r="AI325" t="s">
        <v>72</v>
      </c>
      <c r="AJ325" s="4">
        <v>84.5</v>
      </c>
      <c r="AK325" s="1">
        <f>Table1[[#This Row],[avg_salary]]*1000</f>
        <v>84500</v>
      </c>
    </row>
    <row r="326" spans="1:37" x14ac:dyDescent="0.3">
      <c r="A326" s="1">
        <v>410</v>
      </c>
      <c r="B326" s="1" t="s">
        <v>86</v>
      </c>
      <c r="C326" s="1" t="s">
        <v>1010</v>
      </c>
      <c r="D326" s="4">
        <v>50000</v>
      </c>
      <c r="E326" s="4">
        <v>92000</v>
      </c>
      <c r="F326" s="4">
        <v>71000</v>
      </c>
      <c r="G326" s="1" t="s">
        <v>1350</v>
      </c>
      <c r="H326" t="s">
        <v>1440</v>
      </c>
      <c r="I326" s="1" t="s">
        <v>1192</v>
      </c>
      <c r="J326" s="1" t="s">
        <v>780</v>
      </c>
      <c r="K326" s="1" t="s">
        <v>143</v>
      </c>
      <c r="L326" s="1" t="s">
        <v>74</v>
      </c>
      <c r="M326" s="1" t="s">
        <v>44</v>
      </c>
      <c r="N326" s="1" t="s">
        <v>514</v>
      </c>
      <c r="O326" s="1" t="s">
        <v>81</v>
      </c>
      <c r="P326">
        <v>43</v>
      </c>
      <c r="Q326" s="1">
        <v>0</v>
      </c>
      <c r="R326" s="1">
        <v>0</v>
      </c>
      <c r="S326" s="1">
        <v>0</v>
      </c>
      <c r="T326" s="1">
        <v>1</v>
      </c>
      <c r="U326" s="1">
        <v>1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1</v>
      </c>
      <c r="AC326" s="1">
        <v>1</v>
      </c>
      <c r="AD326" s="1">
        <v>0</v>
      </c>
      <c r="AE326" s="1">
        <v>0</v>
      </c>
      <c r="AF326" s="1">
        <v>0</v>
      </c>
      <c r="AG326" s="1" t="s">
        <v>88</v>
      </c>
      <c r="AH326" s="1" t="str">
        <f t="shared" si="5"/>
        <v>Jr</v>
      </c>
      <c r="AI326" t="s">
        <v>34</v>
      </c>
      <c r="AJ326" s="4">
        <v>71</v>
      </c>
      <c r="AK326" s="1">
        <f>Table1[[#This Row],[avg_salary]]*1000</f>
        <v>71000</v>
      </c>
    </row>
    <row r="327" spans="1:37" x14ac:dyDescent="0.3">
      <c r="A327" s="1">
        <v>411</v>
      </c>
      <c r="B327" s="1" t="s">
        <v>515</v>
      </c>
      <c r="C327" s="1" t="s">
        <v>1011</v>
      </c>
      <c r="D327" s="4">
        <v>67000</v>
      </c>
      <c r="E327" s="4">
        <v>135000</v>
      </c>
      <c r="F327" s="4">
        <v>101000</v>
      </c>
      <c r="G327" s="1" t="s">
        <v>1231</v>
      </c>
      <c r="H327" t="s">
        <v>1441</v>
      </c>
      <c r="I327" s="1" t="s">
        <v>1196</v>
      </c>
      <c r="J327" s="1" t="s">
        <v>780</v>
      </c>
      <c r="K327" s="1" t="s">
        <v>108</v>
      </c>
      <c r="L327" s="1" t="s">
        <v>109</v>
      </c>
      <c r="M327" s="1" t="s">
        <v>84</v>
      </c>
      <c r="N327" s="1" t="s">
        <v>338</v>
      </c>
      <c r="O327" s="1" t="s">
        <v>91</v>
      </c>
      <c r="P327">
        <v>18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 t="s">
        <v>516</v>
      </c>
      <c r="AH327" s="1" t="str">
        <f t="shared" si="5"/>
        <v>Jr</v>
      </c>
      <c r="AI327" t="s">
        <v>72</v>
      </c>
      <c r="AJ327" s="4">
        <v>101</v>
      </c>
      <c r="AK327" s="1">
        <f>Table1[[#This Row],[avg_salary]]*1000</f>
        <v>101000</v>
      </c>
    </row>
    <row r="328" spans="1:37" x14ac:dyDescent="0.3">
      <c r="A328" s="1">
        <v>412</v>
      </c>
      <c r="B328" s="1" t="s">
        <v>28</v>
      </c>
      <c r="C328" s="1" t="s">
        <v>814</v>
      </c>
      <c r="D328" s="4">
        <v>82000</v>
      </c>
      <c r="E328" s="4">
        <v>132000</v>
      </c>
      <c r="F328" s="4">
        <v>107000</v>
      </c>
      <c r="G328" s="1" t="s">
        <v>1217</v>
      </c>
      <c r="H328" t="s">
        <v>1439</v>
      </c>
      <c r="I328" s="1" t="s">
        <v>1189</v>
      </c>
      <c r="J328" s="1" t="s">
        <v>780</v>
      </c>
      <c r="K328" s="1" t="s">
        <v>145</v>
      </c>
      <c r="L328" s="1" t="s">
        <v>74</v>
      </c>
      <c r="M328" s="1" t="s">
        <v>58</v>
      </c>
      <c r="N328" s="1" t="s">
        <v>146</v>
      </c>
      <c r="O328" s="1" t="s">
        <v>67</v>
      </c>
      <c r="P328">
        <v>35</v>
      </c>
      <c r="Q328" s="1">
        <v>1</v>
      </c>
      <c r="R328" s="1">
        <v>1</v>
      </c>
      <c r="S328" s="1">
        <v>1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1</v>
      </c>
      <c r="AB328" s="1">
        <v>1</v>
      </c>
      <c r="AC328" s="1">
        <v>0</v>
      </c>
      <c r="AD328" s="1">
        <v>0</v>
      </c>
      <c r="AE328" s="1">
        <v>1</v>
      </c>
      <c r="AF328" s="1">
        <v>0</v>
      </c>
      <c r="AG328" s="1" t="s">
        <v>33</v>
      </c>
      <c r="AH328" s="1" t="str">
        <f t="shared" si="5"/>
        <v>Jr</v>
      </c>
      <c r="AI328" t="s">
        <v>34</v>
      </c>
      <c r="AJ328" s="4">
        <v>107</v>
      </c>
      <c r="AK328" s="1">
        <f>Table1[[#This Row],[avg_salary]]*1000</f>
        <v>107000</v>
      </c>
    </row>
    <row r="329" spans="1:37" x14ac:dyDescent="0.3">
      <c r="A329" s="1">
        <v>413</v>
      </c>
      <c r="B329" s="1" t="s">
        <v>28</v>
      </c>
      <c r="C329" s="1" t="s">
        <v>812</v>
      </c>
      <c r="D329" s="4">
        <v>85000</v>
      </c>
      <c r="E329" s="4">
        <v>140000</v>
      </c>
      <c r="F329" s="4">
        <v>112500</v>
      </c>
      <c r="G329" s="1" t="s">
        <v>1216</v>
      </c>
      <c r="H329" t="s">
        <v>1441</v>
      </c>
      <c r="I329" s="1" t="s">
        <v>1196</v>
      </c>
      <c r="J329" s="1" t="s">
        <v>780</v>
      </c>
      <c r="K329" s="1" t="s">
        <v>89</v>
      </c>
      <c r="L329" s="1" t="s">
        <v>89</v>
      </c>
      <c r="M329" s="1" t="s">
        <v>54</v>
      </c>
      <c r="N329" s="1" t="s">
        <v>141</v>
      </c>
      <c r="O329" s="1" t="s">
        <v>91</v>
      </c>
      <c r="P329">
        <v>32</v>
      </c>
      <c r="Q329" s="1">
        <v>1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 t="s">
        <v>33</v>
      </c>
      <c r="AH329" s="1" t="str">
        <f t="shared" si="5"/>
        <v>Jr</v>
      </c>
      <c r="AI329" t="s">
        <v>72</v>
      </c>
      <c r="AJ329" s="4">
        <v>112.5</v>
      </c>
      <c r="AK329" s="1">
        <f>Table1[[#This Row],[avg_salary]]*1000</f>
        <v>112500</v>
      </c>
    </row>
    <row r="330" spans="1:37" x14ac:dyDescent="0.3">
      <c r="A330" s="1">
        <v>414</v>
      </c>
      <c r="B330" s="1" t="s">
        <v>395</v>
      </c>
      <c r="C330" s="1" t="s">
        <v>941</v>
      </c>
      <c r="D330" s="4">
        <v>138000</v>
      </c>
      <c r="E330" s="4">
        <v>224000</v>
      </c>
      <c r="F330" s="4">
        <v>181000</v>
      </c>
      <c r="G330" s="1" t="s">
        <v>1200</v>
      </c>
      <c r="H330" t="s">
        <v>1439</v>
      </c>
      <c r="I330" s="1" t="s">
        <v>1189</v>
      </c>
      <c r="J330" s="1" t="s">
        <v>780</v>
      </c>
      <c r="K330" s="1" t="s">
        <v>73</v>
      </c>
      <c r="L330" s="1" t="s">
        <v>74</v>
      </c>
      <c r="M330" s="1" t="s">
        <v>121</v>
      </c>
      <c r="N330" s="1" t="s">
        <v>396</v>
      </c>
      <c r="O330" s="1" t="s">
        <v>67</v>
      </c>
      <c r="P330">
        <v>28</v>
      </c>
      <c r="Q330" s="1">
        <v>1</v>
      </c>
      <c r="R330" s="1">
        <v>1</v>
      </c>
      <c r="S330" s="1">
        <v>0</v>
      </c>
      <c r="T330" s="1">
        <v>0</v>
      </c>
      <c r="U330" s="1">
        <v>1</v>
      </c>
      <c r="V330" s="1">
        <v>0</v>
      </c>
      <c r="W330" s="1">
        <v>0</v>
      </c>
      <c r="X330" s="1">
        <v>0</v>
      </c>
      <c r="Y330" s="1">
        <v>1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 t="s">
        <v>306</v>
      </c>
      <c r="AH330" s="1" t="str">
        <f t="shared" si="5"/>
        <v>Sr</v>
      </c>
      <c r="AI330" t="s">
        <v>34</v>
      </c>
      <c r="AJ330" s="4">
        <v>181</v>
      </c>
      <c r="AK330" s="1">
        <f>Table1[[#This Row],[avg_salary]]*1000</f>
        <v>181000</v>
      </c>
    </row>
    <row r="331" spans="1:37" x14ac:dyDescent="0.3">
      <c r="A331" s="1">
        <v>415</v>
      </c>
      <c r="B331" s="1" t="s">
        <v>475</v>
      </c>
      <c r="C331" s="1" t="s">
        <v>1012</v>
      </c>
      <c r="D331" s="4">
        <v>42000</v>
      </c>
      <c r="E331" s="4">
        <v>80000</v>
      </c>
      <c r="F331" s="4">
        <v>61000</v>
      </c>
      <c r="G331" s="1" t="s">
        <v>1203</v>
      </c>
      <c r="H331" t="s">
        <v>1444</v>
      </c>
      <c r="I331" s="1" t="s">
        <v>1204</v>
      </c>
      <c r="J331" s="1" t="s">
        <v>781</v>
      </c>
      <c r="K331" s="1" t="s">
        <v>145</v>
      </c>
      <c r="L331" s="1" t="s">
        <v>74</v>
      </c>
      <c r="M331" s="1" t="s">
        <v>130</v>
      </c>
      <c r="N331" s="1" t="s">
        <v>517</v>
      </c>
      <c r="O331" s="1" t="s">
        <v>120</v>
      </c>
      <c r="P331">
        <v>40</v>
      </c>
      <c r="Q331" s="1">
        <v>1</v>
      </c>
      <c r="R331" s="1">
        <v>1</v>
      </c>
      <c r="S331" s="1">
        <v>0</v>
      </c>
      <c r="T331" s="1">
        <v>0</v>
      </c>
      <c r="U331" s="1">
        <v>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 t="s">
        <v>88</v>
      </c>
      <c r="AH331" s="1" t="str">
        <f t="shared" si="5"/>
        <v>Jr</v>
      </c>
      <c r="AI331" t="s">
        <v>34</v>
      </c>
      <c r="AJ331" s="4">
        <v>61</v>
      </c>
      <c r="AK331" s="1">
        <f>Table1[[#This Row],[avg_salary]]*1000</f>
        <v>61000</v>
      </c>
    </row>
    <row r="332" spans="1:37" x14ac:dyDescent="0.3">
      <c r="A332" s="1">
        <v>416</v>
      </c>
      <c r="B332" s="1" t="s">
        <v>398</v>
      </c>
      <c r="C332" s="1" t="s">
        <v>1411</v>
      </c>
      <c r="D332" s="4">
        <v>190000</v>
      </c>
      <c r="E332" s="4">
        <v>220000</v>
      </c>
      <c r="F332" s="4">
        <v>205000</v>
      </c>
      <c r="G332" s="1" t="s">
        <v>1199</v>
      </c>
      <c r="H332" t="s">
        <v>1439</v>
      </c>
      <c r="I332" s="1" t="s">
        <v>1189</v>
      </c>
      <c r="J332" s="1" t="s">
        <v>780</v>
      </c>
      <c r="K332" s="1" t="s">
        <v>73</v>
      </c>
      <c r="L332" s="1" t="s">
        <v>74</v>
      </c>
      <c r="M332" s="1" t="s">
        <v>30</v>
      </c>
      <c r="N332" s="1" t="s">
        <v>399</v>
      </c>
      <c r="O332" s="1" t="s">
        <v>67</v>
      </c>
      <c r="P332">
        <v>30</v>
      </c>
      <c r="Q332" s="1">
        <v>1</v>
      </c>
      <c r="R332" s="1">
        <v>1</v>
      </c>
      <c r="S332" s="1">
        <v>1</v>
      </c>
      <c r="T332" s="1">
        <v>0</v>
      </c>
      <c r="U332" s="1">
        <v>1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 t="s">
        <v>98</v>
      </c>
      <c r="AH332" s="1" t="str">
        <f t="shared" si="5"/>
        <v>Sr</v>
      </c>
      <c r="AI332" t="s">
        <v>34</v>
      </c>
      <c r="AJ332" s="4">
        <v>205</v>
      </c>
      <c r="AK332" s="1">
        <f>Table1[[#This Row],[avg_salary]]*1000</f>
        <v>205000</v>
      </c>
    </row>
    <row r="333" spans="1:37" x14ac:dyDescent="0.3">
      <c r="A333" s="1">
        <v>417</v>
      </c>
      <c r="B333" s="1" t="s">
        <v>518</v>
      </c>
      <c r="C333" s="1" t="s">
        <v>1013</v>
      </c>
      <c r="D333" s="4">
        <v>68000</v>
      </c>
      <c r="E333" s="4">
        <v>139000</v>
      </c>
      <c r="F333" s="4">
        <v>103500</v>
      </c>
      <c r="G333" s="1" t="s">
        <v>1351</v>
      </c>
      <c r="H333" t="s">
        <v>1445</v>
      </c>
      <c r="I333" s="1" t="s">
        <v>1206</v>
      </c>
      <c r="J333" s="1" t="s">
        <v>780</v>
      </c>
      <c r="K333" s="1" t="s">
        <v>157</v>
      </c>
      <c r="L333" s="1" t="s">
        <v>158</v>
      </c>
      <c r="M333" s="1" t="s">
        <v>84</v>
      </c>
      <c r="N333" s="1" t="s">
        <v>519</v>
      </c>
      <c r="O333" s="1" t="s">
        <v>123</v>
      </c>
      <c r="P333">
        <v>53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 t="s">
        <v>71</v>
      </c>
      <c r="AH333" s="1" t="str">
        <f t="shared" si="5"/>
        <v>Jr</v>
      </c>
      <c r="AI333" t="s">
        <v>72</v>
      </c>
      <c r="AJ333" s="4">
        <v>103.5</v>
      </c>
      <c r="AK333" s="1">
        <f>Table1[[#This Row],[avg_salary]]*1000</f>
        <v>103500</v>
      </c>
    </row>
    <row r="334" spans="1:37" x14ac:dyDescent="0.3">
      <c r="A334" s="1">
        <v>419</v>
      </c>
      <c r="B334" s="1" t="s">
        <v>520</v>
      </c>
      <c r="C334" s="1" t="s">
        <v>1014</v>
      </c>
      <c r="D334" s="4">
        <v>34000</v>
      </c>
      <c r="E334" s="4">
        <v>92000</v>
      </c>
      <c r="F334" s="4">
        <v>63000</v>
      </c>
      <c r="G334" s="1" t="s">
        <v>1309</v>
      </c>
      <c r="H334" t="s">
        <v>1441</v>
      </c>
      <c r="I334" s="1" t="s">
        <v>1196</v>
      </c>
      <c r="J334" s="1" t="s">
        <v>780</v>
      </c>
      <c r="K334" s="1" t="s">
        <v>108</v>
      </c>
      <c r="L334" s="1" t="s">
        <v>109</v>
      </c>
      <c r="M334" s="1" t="s">
        <v>84</v>
      </c>
      <c r="N334" s="1" t="s">
        <v>338</v>
      </c>
      <c r="O334" s="1" t="s">
        <v>91</v>
      </c>
      <c r="P334">
        <v>26</v>
      </c>
      <c r="Q334" s="1">
        <v>0</v>
      </c>
      <c r="R334" s="1">
        <v>0</v>
      </c>
      <c r="S334" s="1">
        <v>0</v>
      </c>
      <c r="T334" s="1">
        <v>1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 t="s">
        <v>295</v>
      </c>
      <c r="AH334" s="1" t="str">
        <f t="shared" si="5"/>
        <v>Jr</v>
      </c>
      <c r="AI334" t="s">
        <v>34</v>
      </c>
      <c r="AJ334" s="4">
        <v>63</v>
      </c>
      <c r="AK334" s="1">
        <f>Table1[[#This Row],[avg_salary]]*1000</f>
        <v>63000</v>
      </c>
    </row>
    <row r="335" spans="1:37" x14ac:dyDescent="0.3">
      <c r="A335" s="1">
        <v>420</v>
      </c>
      <c r="B335" s="1" t="s">
        <v>521</v>
      </c>
      <c r="C335" s="1" t="s">
        <v>1015</v>
      </c>
      <c r="D335" s="4">
        <v>54000</v>
      </c>
      <c r="E335" s="4">
        <v>71000</v>
      </c>
      <c r="F335" s="4">
        <v>62500</v>
      </c>
      <c r="G335" s="1" t="s">
        <v>1352</v>
      </c>
      <c r="H335" t="s">
        <v>1447</v>
      </c>
      <c r="I335" s="1" t="s">
        <v>1212</v>
      </c>
      <c r="J335" s="1" t="s">
        <v>781</v>
      </c>
      <c r="K335" s="1" t="s">
        <v>143</v>
      </c>
      <c r="L335" s="1" t="s">
        <v>74</v>
      </c>
      <c r="M335" s="1" t="s">
        <v>84</v>
      </c>
      <c r="N335" s="1" t="s">
        <v>522</v>
      </c>
      <c r="O335" s="1" t="s">
        <v>133</v>
      </c>
      <c r="P335">
        <v>40</v>
      </c>
      <c r="Q335" s="1">
        <v>0</v>
      </c>
      <c r="R335" s="1">
        <v>0</v>
      </c>
      <c r="S335" s="1">
        <v>0</v>
      </c>
      <c r="T335" s="1">
        <v>1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 t="s">
        <v>208</v>
      </c>
      <c r="AH335" s="1" t="str">
        <f t="shared" si="5"/>
        <v>Jr</v>
      </c>
      <c r="AI335" t="s">
        <v>34</v>
      </c>
      <c r="AJ335" s="4">
        <v>62.5</v>
      </c>
      <c r="AK335" s="1">
        <f>Table1[[#This Row],[avg_salary]]*1000</f>
        <v>62500</v>
      </c>
    </row>
    <row r="336" spans="1:37" x14ac:dyDescent="0.3">
      <c r="A336" s="1">
        <v>421</v>
      </c>
      <c r="B336" s="1" t="s">
        <v>150</v>
      </c>
      <c r="C336" s="1" t="s">
        <v>1016</v>
      </c>
      <c r="D336" s="4">
        <v>65000</v>
      </c>
      <c r="E336" s="4">
        <v>124000</v>
      </c>
      <c r="F336" s="4">
        <v>94500</v>
      </c>
      <c r="G336" s="1" t="s">
        <v>1353</v>
      </c>
      <c r="H336" t="s">
        <v>1439</v>
      </c>
      <c r="I336" s="1" t="s">
        <v>1189</v>
      </c>
      <c r="J336" s="1" t="s">
        <v>780</v>
      </c>
      <c r="K336" s="1" t="s">
        <v>37</v>
      </c>
      <c r="L336" s="1" t="s">
        <v>38</v>
      </c>
      <c r="M336" s="1" t="s">
        <v>54</v>
      </c>
      <c r="N336" s="1" t="s">
        <v>523</v>
      </c>
      <c r="O336" s="1" t="s">
        <v>67</v>
      </c>
      <c r="P336">
        <v>49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 t="s">
        <v>98</v>
      </c>
      <c r="AH336" s="1" t="str">
        <f t="shared" si="5"/>
        <v>Jr</v>
      </c>
      <c r="AI336" t="s">
        <v>34</v>
      </c>
      <c r="AJ336" s="4">
        <v>94.5</v>
      </c>
      <c r="AK336" s="1">
        <f>Table1[[#This Row],[avg_salary]]*1000</f>
        <v>94500</v>
      </c>
    </row>
    <row r="337" spans="1:37" x14ac:dyDescent="0.3">
      <c r="A337" s="1">
        <v>425</v>
      </c>
      <c r="B337" s="1" t="s">
        <v>400</v>
      </c>
      <c r="C337" s="1" t="s">
        <v>942</v>
      </c>
      <c r="D337" s="4">
        <v>35000</v>
      </c>
      <c r="E337" s="4">
        <v>62000</v>
      </c>
      <c r="F337" s="4">
        <v>48500</v>
      </c>
      <c r="G337" s="1" t="s">
        <v>1315</v>
      </c>
      <c r="H337" t="s">
        <v>1439</v>
      </c>
      <c r="I337" s="1" t="s">
        <v>1189</v>
      </c>
      <c r="J337" s="1" t="s">
        <v>780</v>
      </c>
      <c r="K337" s="1" t="s">
        <v>401</v>
      </c>
      <c r="L337" s="1" t="s">
        <v>402</v>
      </c>
      <c r="M337" s="1" t="s">
        <v>44</v>
      </c>
      <c r="N337" s="1" t="s">
        <v>403</v>
      </c>
      <c r="O337" s="1" t="s">
        <v>67</v>
      </c>
      <c r="P337">
        <v>23</v>
      </c>
      <c r="Q337" s="1">
        <v>0</v>
      </c>
      <c r="R337" s="1">
        <v>0</v>
      </c>
      <c r="S337" s="1">
        <v>0</v>
      </c>
      <c r="T337" s="1">
        <v>1</v>
      </c>
      <c r="U337" s="1">
        <v>1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1</v>
      </c>
      <c r="AG337" s="1" t="s">
        <v>88</v>
      </c>
      <c r="AH337" s="1" t="str">
        <f t="shared" si="5"/>
        <v>Jr</v>
      </c>
      <c r="AI337" t="s">
        <v>34</v>
      </c>
      <c r="AJ337" s="4">
        <v>48.5</v>
      </c>
      <c r="AK337" s="1">
        <f>Table1[[#This Row],[avg_salary]]*1000</f>
        <v>48500</v>
      </c>
    </row>
    <row r="338" spans="1:37" x14ac:dyDescent="0.3">
      <c r="A338" s="1">
        <v>426</v>
      </c>
      <c r="B338" s="1" t="s">
        <v>524</v>
      </c>
      <c r="C338" s="1" t="s">
        <v>1017</v>
      </c>
      <c r="D338" s="4">
        <v>109000</v>
      </c>
      <c r="E338" s="4">
        <v>200000</v>
      </c>
      <c r="F338" s="4">
        <v>154500</v>
      </c>
      <c r="G338" s="1" t="s">
        <v>1221</v>
      </c>
      <c r="H338" t="s">
        <v>1441</v>
      </c>
      <c r="I338" s="1" t="s">
        <v>1196</v>
      </c>
      <c r="J338" s="1" t="s">
        <v>780</v>
      </c>
      <c r="K338" s="1" t="s">
        <v>89</v>
      </c>
      <c r="L338" s="1" t="s">
        <v>89</v>
      </c>
      <c r="M338" s="1" t="s">
        <v>58</v>
      </c>
      <c r="N338" s="1" t="s">
        <v>348</v>
      </c>
      <c r="O338" s="1" t="s">
        <v>91</v>
      </c>
      <c r="P338">
        <v>22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 t="s">
        <v>71</v>
      </c>
      <c r="AH338" s="1" t="str">
        <f t="shared" si="5"/>
        <v>Sr</v>
      </c>
      <c r="AI338" t="s">
        <v>72</v>
      </c>
      <c r="AJ338" s="4">
        <v>154.5</v>
      </c>
      <c r="AK338" s="1">
        <f>Table1[[#This Row],[avg_salary]]*1000</f>
        <v>154500</v>
      </c>
    </row>
    <row r="339" spans="1:37" x14ac:dyDescent="0.3">
      <c r="A339" s="1">
        <v>427</v>
      </c>
      <c r="B339" s="1" t="s">
        <v>404</v>
      </c>
      <c r="C339" s="1" t="s">
        <v>1426</v>
      </c>
      <c r="D339" s="4">
        <v>37000</v>
      </c>
      <c r="E339" s="4">
        <v>52000</v>
      </c>
      <c r="F339" s="4">
        <v>44500</v>
      </c>
      <c r="G339" s="1" t="s">
        <v>1316</v>
      </c>
      <c r="H339" t="s">
        <v>1438</v>
      </c>
      <c r="I339" s="1" t="s">
        <v>1186</v>
      </c>
      <c r="J339" s="1" t="s">
        <v>69</v>
      </c>
      <c r="K339" s="1" t="s">
        <v>37</v>
      </c>
      <c r="L339" s="1" t="s">
        <v>38</v>
      </c>
      <c r="M339" s="1" t="s">
        <v>30</v>
      </c>
      <c r="N339" s="1" t="s">
        <v>405</v>
      </c>
      <c r="O339" s="1" t="s">
        <v>60</v>
      </c>
      <c r="P339">
        <v>27</v>
      </c>
      <c r="Q339" s="1">
        <v>0</v>
      </c>
      <c r="R339" s="1">
        <v>0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 t="s">
        <v>71</v>
      </c>
      <c r="AH339" s="1" t="str">
        <f t="shared" si="5"/>
        <v>Jr</v>
      </c>
      <c r="AI339" t="s">
        <v>34</v>
      </c>
      <c r="AJ339" s="4">
        <v>44.5</v>
      </c>
      <c r="AK339" s="1">
        <f>Table1[[#This Row],[avg_salary]]*1000</f>
        <v>44500</v>
      </c>
    </row>
    <row r="340" spans="1:37" x14ac:dyDescent="0.3">
      <c r="A340" s="1">
        <v>428</v>
      </c>
      <c r="B340" s="1" t="s">
        <v>525</v>
      </c>
      <c r="C340" s="1" t="s">
        <v>1018</v>
      </c>
      <c r="D340" s="4">
        <v>61000</v>
      </c>
      <c r="E340" s="4">
        <v>113000</v>
      </c>
      <c r="F340" s="4">
        <v>87000</v>
      </c>
      <c r="G340" s="1" t="s">
        <v>1354</v>
      </c>
      <c r="H340" t="s">
        <v>1469</v>
      </c>
      <c r="I340" s="1" t="s">
        <v>1355</v>
      </c>
      <c r="J340" s="1" t="s">
        <v>781</v>
      </c>
      <c r="K340" s="1" t="s">
        <v>526</v>
      </c>
      <c r="L340" s="1" t="s">
        <v>62</v>
      </c>
      <c r="M340" s="1" t="s">
        <v>50</v>
      </c>
      <c r="N340" s="1" t="s">
        <v>527</v>
      </c>
      <c r="O340" s="1" t="s">
        <v>528</v>
      </c>
      <c r="P340">
        <v>22</v>
      </c>
      <c r="Q340" s="1">
        <v>1</v>
      </c>
      <c r="R340" s="1">
        <v>0</v>
      </c>
      <c r="S340" s="1">
        <v>0</v>
      </c>
      <c r="T340" s="1">
        <v>1</v>
      </c>
      <c r="U340" s="1">
        <v>1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1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 t="s">
        <v>306</v>
      </c>
      <c r="AH340" s="1" t="str">
        <f t="shared" si="5"/>
        <v>Jr</v>
      </c>
      <c r="AI340" t="s">
        <v>72</v>
      </c>
      <c r="AJ340" s="4">
        <v>87</v>
      </c>
      <c r="AK340" s="1">
        <f>Table1[[#This Row],[avg_salary]]*1000</f>
        <v>87000</v>
      </c>
    </row>
    <row r="341" spans="1:37" x14ac:dyDescent="0.3">
      <c r="A341" s="1">
        <v>429</v>
      </c>
      <c r="B341" s="1" t="s">
        <v>406</v>
      </c>
      <c r="C341" s="1" t="s">
        <v>943</v>
      </c>
      <c r="D341" s="4">
        <v>39000</v>
      </c>
      <c r="E341" s="4">
        <v>66000</v>
      </c>
      <c r="F341" s="4">
        <v>52500</v>
      </c>
      <c r="G341" s="1" t="s">
        <v>1317</v>
      </c>
      <c r="H341" t="s">
        <v>1444</v>
      </c>
      <c r="I341" s="1" t="s">
        <v>1204</v>
      </c>
      <c r="J341" s="1" t="s">
        <v>780</v>
      </c>
      <c r="K341" s="1" t="s">
        <v>407</v>
      </c>
      <c r="L341" s="1" t="s">
        <v>158</v>
      </c>
      <c r="M341" s="1" t="s">
        <v>44</v>
      </c>
      <c r="N341" s="1" t="s">
        <v>408</v>
      </c>
      <c r="O341" s="1" t="s">
        <v>120</v>
      </c>
      <c r="P341">
        <v>32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 t="s">
        <v>71</v>
      </c>
      <c r="AH341" s="1" t="str">
        <f t="shared" si="5"/>
        <v>Jr</v>
      </c>
      <c r="AI341" t="s">
        <v>34</v>
      </c>
      <c r="AJ341" s="4">
        <v>52.5</v>
      </c>
      <c r="AK341" s="1">
        <f>Table1[[#This Row],[avg_salary]]*1000</f>
        <v>52500</v>
      </c>
    </row>
    <row r="342" spans="1:37" x14ac:dyDescent="0.3">
      <c r="A342" s="1">
        <v>430</v>
      </c>
      <c r="B342" s="1" t="s">
        <v>150</v>
      </c>
      <c r="C342" s="1" t="s">
        <v>1019</v>
      </c>
      <c r="D342" s="4">
        <v>43000</v>
      </c>
      <c r="E342" s="4">
        <v>86000</v>
      </c>
      <c r="F342" s="4">
        <v>64500</v>
      </c>
      <c r="G342" s="1" t="s">
        <v>1183</v>
      </c>
      <c r="H342" t="s">
        <v>1183</v>
      </c>
      <c r="I342" s="1" t="s">
        <v>1184</v>
      </c>
      <c r="J342" s="1" t="s">
        <v>780</v>
      </c>
      <c r="K342" s="1" t="s">
        <v>79</v>
      </c>
      <c r="L342" s="1" t="s">
        <v>43</v>
      </c>
      <c r="M342" s="1" t="s">
        <v>54</v>
      </c>
      <c r="N342" s="1" t="s">
        <v>529</v>
      </c>
      <c r="O342" s="1" t="s">
        <v>56</v>
      </c>
      <c r="P342">
        <v>45</v>
      </c>
      <c r="Q342" s="1">
        <v>1</v>
      </c>
      <c r="R342" s="1">
        <v>0</v>
      </c>
      <c r="S342" s="1">
        <v>1</v>
      </c>
      <c r="T342" s="1">
        <v>1</v>
      </c>
      <c r="U342" s="1">
        <v>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 t="s">
        <v>98</v>
      </c>
      <c r="AH342" s="1" t="str">
        <f t="shared" si="5"/>
        <v>Jr</v>
      </c>
      <c r="AI342" t="s">
        <v>34</v>
      </c>
      <c r="AJ342" s="4">
        <v>64.5</v>
      </c>
      <c r="AK342" s="1">
        <f>Table1[[#This Row],[avg_salary]]*1000</f>
        <v>64500</v>
      </c>
    </row>
    <row r="343" spans="1:37" x14ac:dyDescent="0.3">
      <c r="A343" s="1">
        <v>431</v>
      </c>
      <c r="B343" s="1" t="s">
        <v>530</v>
      </c>
      <c r="C343" s="1" t="s">
        <v>1020</v>
      </c>
      <c r="D343" s="4">
        <v>74000</v>
      </c>
      <c r="E343" s="4">
        <v>149000</v>
      </c>
      <c r="F343" s="4">
        <v>111500</v>
      </c>
      <c r="G343" s="1" t="s">
        <v>1356</v>
      </c>
      <c r="H343" t="s">
        <v>1439</v>
      </c>
      <c r="I343" s="1" t="s">
        <v>1189</v>
      </c>
      <c r="J343" s="1" t="s">
        <v>781</v>
      </c>
      <c r="K343" s="1" t="s">
        <v>89</v>
      </c>
      <c r="L343" s="1" t="s">
        <v>89</v>
      </c>
      <c r="M343" s="1" t="s">
        <v>65</v>
      </c>
      <c r="N343" s="1" t="s">
        <v>531</v>
      </c>
      <c r="O343" s="1" t="s">
        <v>67</v>
      </c>
      <c r="P343">
        <v>20</v>
      </c>
      <c r="Q343" s="1">
        <v>0</v>
      </c>
      <c r="R343" s="1">
        <v>0</v>
      </c>
      <c r="S343" s="1">
        <v>0</v>
      </c>
      <c r="T343" s="1">
        <v>1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 t="s">
        <v>71</v>
      </c>
      <c r="AH343" s="1" t="str">
        <f t="shared" si="5"/>
        <v>Jr</v>
      </c>
      <c r="AI343" t="s">
        <v>72</v>
      </c>
      <c r="AJ343" s="4">
        <v>111.5</v>
      </c>
      <c r="AK343" s="1">
        <f>Table1[[#This Row],[avg_salary]]*1000</f>
        <v>111500</v>
      </c>
    </row>
    <row r="344" spans="1:37" x14ac:dyDescent="0.3">
      <c r="A344" s="1">
        <v>433</v>
      </c>
      <c r="B344" s="1" t="s">
        <v>532</v>
      </c>
      <c r="C344" s="1" t="s">
        <v>1021</v>
      </c>
      <c r="D344" s="4">
        <v>113000</v>
      </c>
      <c r="E344" s="4">
        <v>196000</v>
      </c>
      <c r="F344" s="4">
        <v>154500</v>
      </c>
      <c r="G344" s="1" t="s">
        <v>1195</v>
      </c>
      <c r="H344" t="s">
        <v>1441</v>
      </c>
      <c r="I344" s="1" t="s">
        <v>1196</v>
      </c>
      <c r="J344" s="1" t="s">
        <v>781</v>
      </c>
      <c r="K344" s="1" t="s">
        <v>89</v>
      </c>
      <c r="L344" s="1" t="s">
        <v>89</v>
      </c>
      <c r="M344" s="1" t="s">
        <v>84</v>
      </c>
      <c r="N344" s="1" t="s">
        <v>90</v>
      </c>
      <c r="O344" s="1" t="s">
        <v>91</v>
      </c>
      <c r="P344">
        <v>18</v>
      </c>
      <c r="Q344" s="1">
        <v>0</v>
      </c>
      <c r="R344" s="1">
        <v>1</v>
      </c>
      <c r="S344" s="1">
        <v>1</v>
      </c>
      <c r="T344" s="1">
        <v>1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0</v>
      </c>
      <c r="AC344" s="1">
        <v>0</v>
      </c>
      <c r="AD344" s="1">
        <v>0</v>
      </c>
      <c r="AE344" s="1">
        <v>1</v>
      </c>
      <c r="AF344" s="1">
        <v>0</v>
      </c>
      <c r="AG344" s="1" t="s">
        <v>98</v>
      </c>
      <c r="AH344" s="1" t="str">
        <f t="shared" si="5"/>
        <v>Sr</v>
      </c>
      <c r="AI344" t="s">
        <v>34</v>
      </c>
      <c r="AJ344" s="4">
        <v>154.5</v>
      </c>
      <c r="AK344" s="1">
        <f>Table1[[#This Row],[avg_salary]]*1000</f>
        <v>154500</v>
      </c>
    </row>
    <row r="345" spans="1:37" x14ac:dyDescent="0.3">
      <c r="A345" s="1">
        <v>434</v>
      </c>
      <c r="B345" s="1" t="s">
        <v>409</v>
      </c>
      <c r="C345" s="1" t="s">
        <v>900</v>
      </c>
      <c r="D345" s="4">
        <v>81000</v>
      </c>
      <c r="E345" s="4">
        <v>167000</v>
      </c>
      <c r="F345" s="4">
        <v>124000</v>
      </c>
      <c r="G345" s="1" t="s">
        <v>1252</v>
      </c>
      <c r="H345" t="s">
        <v>1453</v>
      </c>
      <c r="I345" s="1" t="s">
        <v>1241</v>
      </c>
      <c r="J345" s="1" t="s">
        <v>322</v>
      </c>
      <c r="K345" s="1" t="s">
        <v>323</v>
      </c>
      <c r="L345" s="1" t="s">
        <v>255</v>
      </c>
      <c r="M345" s="1" t="s">
        <v>54</v>
      </c>
      <c r="N345" s="1" t="s">
        <v>324</v>
      </c>
      <c r="O345" s="1" t="s">
        <v>194</v>
      </c>
      <c r="P345">
        <v>34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 t="s">
        <v>306</v>
      </c>
      <c r="AH345" s="1" t="str">
        <f t="shared" si="5"/>
        <v>Sr</v>
      </c>
      <c r="AI345" t="s">
        <v>72</v>
      </c>
      <c r="AJ345" s="4">
        <v>124</v>
      </c>
      <c r="AK345" s="1">
        <f>Table1[[#This Row],[avg_salary]]*1000</f>
        <v>124000</v>
      </c>
    </row>
    <row r="346" spans="1:37" x14ac:dyDescent="0.3">
      <c r="A346" s="1">
        <v>435</v>
      </c>
      <c r="B346" s="1" t="s">
        <v>148</v>
      </c>
      <c r="C346" s="1" t="s">
        <v>1022</v>
      </c>
      <c r="D346" s="4">
        <v>97000</v>
      </c>
      <c r="E346" s="4">
        <v>160000</v>
      </c>
      <c r="F346" s="4">
        <v>128500</v>
      </c>
      <c r="G346" s="1" t="s">
        <v>1203</v>
      </c>
      <c r="H346" t="s">
        <v>1444</v>
      </c>
      <c r="I346" s="1" t="s">
        <v>1204</v>
      </c>
      <c r="J346" s="1" t="s">
        <v>780</v>
      </c>
      <c r="K346" s="1" t="s">
        <v>64</v>
      </c>
      <c r="L346" s="1" t="s">
        <v>43</v>
      </c>
      <c r="M346" s="1" t="s">
        <v>30</v>
      </c>
      <c r="N346" s="1" t="s">
        <v>297</v>
      </c>
      <c r="O346" s="1" t="s">
        <v>120</v>
      </c>
      <c r="P346">
        <v>43</v>
      </c>
      <c r="Q346" s="1">
        <v>1</v>
      </c>
      <c r="R346" s="1">
        <v>0</v>
      </c>
      <c r="S346" s="1">
        <v>1</v>
      </c>
      <c r="T346" s="1">
        <v>1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 t="s">
        <v>33</v>
      </c>
      <c r="AH346" s="1" t="str">
        <f t="shared" si="5"/>
        <v>Sr</v>
      </c>
      <c r="AI346" t="s">
        <v>34</v>
      </c>
      <c r="AJ346" s="4">
        <v>128.5</v>
      </c>
      <c r="AK346" s="1">
        <f>Table1[[#This Row],[avg_salary]]*1000</f>
        <v>128500</v>
      </c>
    </row>
    <row r="347" spans="1:37" x14ac:dyDescent="0.3">
      <c r="A347" s="1">
        <v>437</v>
      </c>
      <c r="B347" s="1" t="s">
        <v>533</v>
      </c>
      <c r="C347" s="1" t="s">
        <v>1429</v>
      </c>
      <c r="D347" s="4">
        <v>49000</v>
      </c>
      <c r="E347" s="4">
        <v>81000</v>
      </c>
      <c r="F347" s="4">
        <v>65000</v>
      </c>
      <c r="G347" s="1" t="s">
        <v>1357</v>
      </c>
      <c r="H347" t="s">
        <v>1443</v>
      </c>
      <c r="I347" s="1" t="s">
        <v>1202</v>
      </c>
      <c r="J347" s="1" t="s">
        <v>69</v>
      </c>
      <c r="K347" s="1" t="s">
        <v>37</v>
      </c>
      <c r="L347" s="1" t="s">
        <v>38</v>
      </c>
      <c r="M347" s="1" t="s">
        <v>44</v>
      </c>
      <c r="N347" s="1" t="s">
        <v>534</v>
      </c>
      <c r="O347" s="1" t="s">
        <v>111</v>
      </c>
      <c r="P347">
        <v>20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 t="s">
        <v>71</v>
      </c>
      <c r="AH347" s="1" t="str">
        <f t="shared" si="5"/>
        <v>Jr</v>
      </c>
      <c r="AI347" t="s">
        <v>34</v>
      </c>
      <c r="AJ347" s="4">
        <v>65</v>
      </c>
      <c r="AK347" s="1">
        <f>Table1[[#This Row],[avg_salary]]*1000</f>
        <v>65000</v>
      </c>
    </row>
    <row r="348" spans="1:37" x14ac:dyDescent="0.3">
      <c r="A348" s="1">
        <v>442</v>
      </c>
      <c r="B348" s="1" t="s">
        <v>410</v>
      </c>
      <c r="C348" s="1" t="s">
        <v>944</v>
      </c>
      <c r="D348" s="4">
        <v>42000</v>
      </c>
      <c r="E348" s="4">
        <v>86000</v>
      </c>
      <c r="F348" s="4">
        <v>64000</v>
      </c>
      <c r="G348" s="1" t="s">
        <v>1318</v>
      </c>
      <c r="H348" t="s">
        <v>1439</v>
      </c>
      <c r="I348" s="1" t="s">
        <v>1189</v>
      </c>
      <c r="J348" s="1" t="s">
        <v>107</v>
      </c>
      <c r="K348" s="1" t="s">
        <v>37</v>
      </c>
      <c r="L348" s="1" t="s">
        <v>38</v>
      </c>
      <c r="M348" s="1" t="s">
        <v>50</v>
      </c>
      <c r="N348" s="1" t="s">
        <v>411</v>
      </c>
      <c r="O348" s="1" t="s">
        <v>67</v>
      </c>
      <c r="P348">
        <v>29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1</v>
      </c>
      <c r="AC348" s="1">
        <v>0</v>
      </c>
      <c r="AD348" s="1">
        <v>0</v>
      </c>
      <c r="AE348" s="1">
        <v>0</v>
      </c>
      <c r="AF348" s="1">
        <v>0</v>
      </c>
      <c r="AG348" s="1" t="s">
        <v>295</v>
      </c>
      <c r="AH348" s="1" t="str">
        <f t="shared" si="5"/>
        <v>Jr</v>
      </c>
      <c r="AI348" t="s">
        <v>34</v>
      </c>
      <c r="AJ348" s="4">
        <v>64</v>
      </c>
      <c r="AK348" s="1">
        <f>Table1[[#This Row],[avg_salary]]*1000</f>
        <v>64000</v>
      </c>
    </row>
    <row r="349" spans="1:37" x14ac:dyDescent="0.3">
      <c r="A349" s="1">
        <v>443</v>
      </c>
      <c r="B349" s="1" t="s">
        <v>412</v>
      </c>
      <c r="C349" s="1" t="s">
        <v>945</v>
      </c>
      <c r="D349" s="4">
        <v>69000</v>
      </c>
      <c r="E349" s="4">
        <v>127000</v>
      </c>
      <c r="F349" s="4">
        <v>98000</v>
      </c>
      <c r="G349" s="1" t="s">
        <v>1319</v>
      </c>
      <c r="H349" t="s">
        <v>1463</v>
      </c>
      <c r="I349" s="1" t="s">
        <v>1295</v>
      </c>
      <c r="J349" s="1" t="s">
        <v>780</v>
      </c>
      <c r="K349" s="1" t="s">
        <v>413</v>
      </c>
      <c r="L349" s="1" t="s">
        <v>77</v>
      </c>
      <c r="M349" s="1" t="s">
        <v>84</v>
      </c>
      <c r="N349" s="1" t="s">
        <v>414</v>
      </c>
      <c r="O349" s="1" t="s">
        <v>331</v>
      </c>
      <c r="P349">
        <v>32</v>
      </c>
      <c r="Q349" s="1">
        <v>1</v>
      </c>
      <c r="R349" s="1">
        <v>0</v>
      </c>
      <c r="S349" s="1">
        <v>0</v>
      </c>
      <c r="T349" s="1">
        <v>0</v>
      </c>
      <c r="U349" s="1">
        <v>1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 t="s">
        <v>98</v>
      </c>
      <c r="AH349" s="1" t="str">
        <f t="shared" si="5"/>
        <v>Jr</v>
      </c>
      <c r="AI349" t="s">
        <v>34</v>
      </c>
      <c r="AJ349" s="4">
        <v>98</v>
      </c>
      <c r="AK349" s="1">
        <f>Table1[[#This Row],[avg_salary]]*1000</f>
        <v>98000</v>
      </c>
    </row>
    <row r="350" spans="1:37" x14ac:dyDescent="0.3">
      <c r="A350" s="1">
        <v>444</v>
      </c>
      <c r="B350" s="1" t="s">
        <v>155</v>
      </c>
      <c r="C350" s="1" t="s">
        <v>800</v>
      </c>
      <c r="D350" s="4">
        <v>110000</v>
      </c>
      <c r="E350" s="4">
        <v>175000</v>
      </c>
      <c r="F350" s="4">
        <v>142500</v>
      </c>
      <c r="G350" s="1" t="s">
        <v>1200</v>
      </c>
      <c r="H350" t="s">
        <v>1439</v>
      </c>
      <c r="I350" s="1" t="s">
        <v>1189</v>
      </c>
      <c r="J350" s="1" t="s">
        <v>780</v>
      </c>
      <c r="K350" s="1" t="s">
        <v>103</v>
      </c>
      <c r="L350" s="1" t="s">
        <v>74</v>
      </c>
      <c r="M350" s="1" t="s">
        <v>54</v>
      </c>
      <c r="N350" s="1" t="s">
        <v>106</v>
      </c>
      <c r="O350" s="1" t="s">
        <v>67</v>
      </c>
      <c r="P350">
        <v>45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 t="s">
        <v>33</v>
      </c>
      <c r="AH350" s="1" t="str">
        <f t="shared" si="5"/>
        <v>Sr</v>
      </c>
      <c r="AI350" t="s">
        <v>34</v>
      </c>
      <c r="AJ350" s="4">
        <v>142.5</v>
      </c>
      <c r="AK350" s="1">
        <f>Table1[[#This Row],[avg_salary]]*1000</f>
        <v>142500</v>
      </c>
    </row>
    <row r="351" spans="1:37" x14ac:dyDescent="0.3">
      <c r="A351" s="1">
        <v>446</v>
      </c>
      <c r="B351" s="1" t="s">
        <v>535</v>
      </c>
      <c r="C351" s="1" t="s">
        <v>1023</v>
      </c>
      <c r="D351" s="4">
        <v>102000</v>
      </c>
      <c r="E351" s="4">
        <v>172000</v>
      </c>
      <c r="F351" s="4">
        <v>137000</v>
      </c>
      <c r="G351" s="1" t="s">
        <v>1183</v>
      </c>
      <c r="H351" t="s">
        <v>1183</v>
      </c>
      <c r="I351" s="1" t="s">
        <v>1184</v>
      </c>
      <c r="J351" s="1" t="s">
        <v>781</v>
      </c>
      <c r="K351" s="1" t="s">
        <v>89</v>
      </c>
      <c r="L351" s="1" t="s">
        <v>89</v>
      </c>
      <c r="M351" s="1" t="s">
        <v>84</v>
      </c>
      <c r="N351" s="1" t="s">
        <v>536</v>
      </c>
      <c r="O351" s="1" t="s">
        <v>56</v>
      </c>
      <c r="P351">
        <v>29</v>
      </c>
      <c r="Q351" s="1">
        <v>1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 t="s">
        <v>33</v>
      </c>
      <c r="AH351" s="1" t="str">
        <f t="shared" si="5"/>
        <v>Sr</v>
      </c>
      <c r="AI351" t="s">
        <v>72</v>
      </c>
      <c r="AJ351" s="4">
        <v>137</v>
      </c>
      <c r="AK351" s="1">
        <f>Table1[[#This Row],[avg_salary]]*1000</f>
        <v>137000</v>
      </c>
    </row>
    <row r="352" spans="1:37" x14ac:dyDescent="0.3">
      <c r="A352" s="1">
        <v>447</v>
      </c>
      <c r="B352" s="1" t="s">
        <v>150</v>
      </c>
      <c r="C352" s="1" t="s">
        <v>864</v>
      </c>
      <c r="D352" s="4">
        <v>74000</v>
      </c>
      <c r="E352" s="4">
        <v>124000</v>
      </c>
      <c r="F352" s="4">
        <v>99000</v>
      </c>
      <c r="G352" s="1" t="s">
        <v>1201</v>
      </c>
      <c r="H352" t="s">
        <v>1443</v>
      </c>
      <c r="I352" s="1" t="s">
        <v>1202</v>
      </c>
      <c r="J352" s="1" t="s">
        <v>107</v>
      </c>
      <c r="K352" s="1" t="s">
        <v>108</v>
      </c>
      <c r="L352" s="1" t="s">
        <v>109</v>
      </c>
      <c r="M352" s="1" t="s">
        <v>50</v>
      </c>
      <c r="N352" s="1" t="s">
        <v>110</v>
      </c>
      <c r="O352" s="1" t="s">
        <v>111</v>
      </c>
      <c r="P352">
        <v>24</v>
      </c>
      <c r="Q352" s="1">
        <v>1</v>
      </c>
      <c r="R352" s="1">
        <v>0</v>
      </c>
      <c r="S352" s="1">
        <v>1</v>
      </c>
      <c r="T352" s="1">
        <v>0</v>
      </c>
      <c r="U352" s="1">
        <v>1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 t="s">
        <v>98</v>
      </c>
      <c r="AH352" s="1" t="str">
        <f t="shared" si="5"/>
        <v>Jr</v>
      </c>
      <c r="AI352" t="s">
        <v>34</v>
      </c>
      <c r="AJ352" s="4">
        <v>99</v>
      </c>
      <c r="AK352" s="1">
        <f>Table1[[#This Row],[avg_salary]]*1000</f>
        <v>99000</v>
      </c>
    </row>
    <row r="353" spans="1:37" x14ac:dyDescent="0.3">
      <c r="A353" s="1">
        <v>448</v>
      </c>
      <c r="B353" s="1" t="s">
        <v>416</v>
      </c>
      <c r="C353" s="1" t="s">
        <v>946</v>
      </c>
      <c r="D353" s="4">
        <v>40000</v>
      </c>
      <c r="E353" s="4">
        <v>68000</v>
      </c>
      <c r="F353" s="4">
        <v>54000</v>
      </c>
      <c r="G353" s="1" t="s">
        <v>1265</v>
      </c>
      <c r="H353" t="s">
        <v>1457</v>
      </c>
      <c r="I353" s="1" t="s">
        <v>1266</v>
      </c>
      <c r="J353" s="1" t="s">
        <v>780</v>
      </c>
      <c r="K353" s="1" t="s">
        <v>407</v>
      </c>
      <c r="L353" s="1" t="s">
        <v>158</v>
      </c>
      <c r="M353" s="1" t="s">
        <v>54</v>
      </c>
      <c r="N353" s="1" t="s">
        <v>417</v>
      </c>
      <c r="O353" s="1" t="s">
        <v>249</v>
      </c>
      <c r="P353">
        <v>26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 t="s">
        <v>71</v>
      </c>
      <c r="AH353" s="1" t="str">
        <f t="shared" si="5"/>
        <v>Jr</v>
      </c>
      <c r="AI353" t="s">
        <v>34</v>
      </c>
      <c r="AJ353" s="4">
        <v>54</v>
      </c>
      <c r="AK353" s="1">
        <f>Table1[[#This Row],[avg_salary]]*1000</f>
        <v>54000</v>
      </c>
    </row>
    <row r="354" spans="1:37" x14ac:dyDescent="0.3">
      <c r="A354" s="1">
        <v>449</v>
      </c>
      <c r="B354" s="1" t="s">
        <v>148</v>
      </c>
      <c r="C354" s="1" t="s">
        <v>1024</v>
      </c>
      <c r="D354" s="4">
        <v>108000</v>
      </c>
      <c r="E354" s="4">
        <v>171000</v>
      </c>
      <c r="F354" s="4">
        <v>139500</v>
      </c>
      <c r="G354" s="1" t="s">
        <v>1358</v>
      </c>
      <c r="H354" t="s">
        <v>1441</v>
      </c>
      <c r="I354" s="1" t="s">
        <v>1196</v>
      </c>
      <c r="J354" s="1" t="s">
        <v>780</v>
      </c>
      <c r="K354" s="1" t="s">
        <v>145</v>
      </c>
      <c r="L354" s="1" t="s">
        <v>74</v>
      </c>
      <c r="M354" s="1" t="s">
        <v>58</v>
      </c>
      <c r="N354" s="1" t="s">
        <v>537</v>
      </c>
      <c r="O354" s="1" t="s">
        <v>91</v>
      </c>
      <c r="P354">
        <v>39</v>
      </c>
      <c r="Q354" s="1">
        <v>1</v>
      </c>
      <c r="R354" s="1">
        <v>0</v>
      </c>
      <c r="S354" s="1">
        <v>0</v>
      </c>
      <c r="T354" s="1">
        <v>0</v>
      </c>
      <c r="U354" s="1">
        <v>1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>
        <v>1</v>
      </c>
      <c r="AD354" s="1">
        <v>0</v>
      </c>
      <c r="AE354" s="1">
        <v>0</v>
      </c>
      <c r="AF354" s="1">
        <v>0</v>
      </c>
      <c r="AG354" s="1" t="s">
        <v>33</v>
      </c>
      <c r="AH354" s="1" t="str">
        <f t="shared" si="5"/>
        <v>Sr</v>
      </c>
      <c r="AI354" t="s">
        <v>34</v>
      </c>
      <c r="AJ354" s="4">
        <v>139.5</v>
      </c>
      <c r="AK354" s="1">
        <f>Table1[[#This Row],[avg_salary]]*1000</f>
        <v>139500</v>
      </c>
    </row>
    <row r="355" spans="1:37" x14ac:dyDescent="0.3">
      <c r="A355" s="1">
        <v>450</v>
      </c>
      <c r="B355" s="1" t="s">
        <v>150</v>
      </c>
      <c r="C355" s="1" t="s">
        <v>1025</v>
      </c>
      <c r="D355" s="4">
        <v>76000</v>
      </c>
      <c r="E355" s="4">
        <v>142000</v>
      </c>
      <c r="F355" s="4">
        <v>109000</v>
      </c>
      <c r="G355" s="1" t="s">
        <v>1279</v>
      </c>
      <c r="H355" t="s">
        <v>1436</v>
      </c>
      <c r="I355" s="1" t="s">
        <v>1178</v>
      </c>
      <c r="J355" s="1" t="s">
        <v>780</v>
      </c>
      <c r="K355" s="1" t="s">
        <v>143</v>
      </c>
      <c r="L355" s="1" t="s">
        <v>74</v>
      </c>
      <c r="M355" s="1" t="s">
        <v>65</v>
      </c>
      <c r="N355" s="1" t="s">
        <v>538</v>
      </c>
      <c r="O355" s="1" t="s">
        <v>41</v>
      </c>
      <c r="P355">
        <v>36</v>
      </c>
      <c r="Q355" s="1">
        <v>0</v>
      </c>
      <c r="R355" s="1">
        <v>0</v>
      </c>
      <c r="S355" s="1">
        <v>1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 t="s">
        <v>98</v>
      </c>
      <c r="AH355" s="1" t="str">
        <f t="shared" si="5"/>
        <v>Jr</v>
      </c>
      <c r="AI355" t="s">
        <v>34</v>
      </c>
      <c r="AJ355" s="4">
        <v>109</v>
      </c>
      <c r="AK355" s="1">
        <f>Table1[[#This Row],[avg_salary]]*1000</f>
        <v>109000</v>
      </c>
    </row>
    <row r="356" spans="1:37" x14ac:dyDescent="0.3">
      <c r="A356" s="1">
        <v>452</v>
      </c>
      <c r="B356" s="1" t="s">
        <v>539</v>
      </c>
      <c r="C356" s="1" t="s">
        <v>1026</v>
      </c>
      <c r="D356" s="4">
        <v>202000</v>
      </c>
      <c r="E356" s="4">
        <v>306000</v>
      </c>
      <c r="F356" s="4">
        <v>254000</v>
      </c>
      <c r="G356" s="1" t="s">
        <v>1203</v>
      </c>
      <c r="H356" t="s">
        <v>1444</v>
      </c>
      <c r="I356" s="1" t="s">
        <v>1204</v>
      </c>
      <c r="J356" s="1" t="s">
        <v>780</v>
      </c>
      <c r="K356" s="1" t="s">
        <v>108</v>
      </c>
      <c r="L356" s="1" t="s">
        <v>109</v>
      </c>
      <c r="M356" s="1" t="s">
        <v>84</v>
      </c>
      <c r="N356" s="1" t="s">
        <v>174</v>
      </c>
      <c r="O356" s="1" t="s">
        <v>120</v>
      </c>
      <c r="P356">
        <v>38</v>
      </c>
      <c r="Q356" s="1">
        <v>1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 t="s">
        <v>33</v>
      </c>
      <c r="AH356" s="1" t="str">
        <f t="shared" si="5"/>
        <v>Sr</v>
      </c>
      <c r="AI356" t="s">
        <v>34</v>
      </c>
      <c r="AJ356" s="4">
        <v>254</v>
      </c>
      <c r="AK356" s="1">
        <f>Table1[[#This Row],[avg_salary]]*1000</f>
        <v>254000</v>
      </c>
    </row>
    <row r="357" spans="1:37" x14ac:dyDescent="0.3">
      <c r="A357" s="1">
        <v>454</v>
      </c>
      <c r="B357" s="1" t="s">
        <v>540</v>
      </c>
      <c r="C357" s="1" t="s">
        <v>1027</v>
      </c>
      <c r="D357" s="4">
        <v>49000</v>
      </c>
      <c r="E357" s="4">
        <v>97000</v>
      </c>
      <c r="F357" s="4">
        <v>73000</v>
      </c>
      <c r="G357" s="1" t="s">
        <v>1297</v>
      </c>
      <c r="H357" t="s">
        <v>1439</v>
      </c>
      <c r="I357" s="1" t="s">
        <v>1189</v>
      </c>
      <c r="J357" s="1" t="s">
        <v>93</v>
      </c>
      <c r="K357" s="1" t="s">
        <v>89</v>
      </c>
      <c r="L357" s="1" t="s">
        <v>89</v>
      </c>
      <c r="M357" s="1" t="s">
        <v>54</v>
      </c>
      <c r="N357" s="1" t="s">
        <v>541</v>
      </c>
      <c r="O357" s="1" t="s">
        <v>67</v>
      </c>
      <c r="P357">
        <v>37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 t="s">
        <v>71</v>
      </c>
      <c r="AH357" s="1" t="str">
        <f t="shared" si="5"/>
        <v>Jr</v>
      </c>
      <c r="AI357" t="s">
        <v>72</v>
      </c>
      <c r="AJ357" s="4">
        <v>73</v>
      </c>
      <c r="AK357" s="1">
        <f>Table1[[#This Row],[avg_salary]]*1000</f>
        <v>73000</v>
      </c>
    </row>
    <row r="358" spans="1:37" x14ac:dyDescent="0.3">
      <c r="A358" s="1">
        <v>455</v>
      </c>
      <c r="B358" s="1" t="s">
        <v>418</v>
      </c>
      <c r="C358" s="1" t="s">
        <v>947</v>
      </c>
      <c r="D358" s="4">
        <v>49000</v>
      </c>
      <c r="E358" s="4">
        <v>113000</v>
      </c>
      <c r="F358" s="4">
        <v>81000</v>
      </c>
      <c r="G358" s="1" t="s">
        <v>1279</v>
      </c>
      <c r="H358" t="s">
        <v>1436</v>
      </c>
      <c r="I358" s="1" t="s">
        <v>1178</v>
      </c>
      <c r="J358" s="1" t="s">
        <v>780</v>
      </c>
      <c r="K358" s="1" t="s">
        <v>89</v>
      </c>
      <c r="L358" s="1" t="s">
        <v>89</v>
      </c>
      <c r="M358" s="1" t="s">
        <v>65</v>
      </c>
      <c r="N358" s="1" t="s">
        <v>419</v>
      </c>
      <c r="O358" s="1" t="s">
        <v>41</v>
      </c>
      <c r="P358">
        <v>57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 t="s">
        <v>71</v>
      </c>
      <c r="AH358" s="1" t="str">
        <f t="shared" si="5"/>
        <v>Jr</v>
      </c>
      <c r="AI358" t="s">
        <v>72</v>
      </c>
      <c r="AJ358" s="4">
        <v>81</v>
      </c>
      <c r="AK358" s="1">
        <f>Table1[[#This Row],[avg_salary]]*1000</f>
        <v>81000</v>
      </c>
    </row>
    <row r="359" spans="1:37" x14ac:dyDescent="0.3">
      <c r="A359" s="1">
        <v>456</v>
      </c>
      <c r="B359" s="1" t="s">
        <v>415</v>
      </c>
      <c r="C359" s="1" t="s">
        <v>1425</v>
      </c>
      <c r="D359" s="4">
        <v>43000</v>
      </c>
      <c r="E359" s="4">
        <v>70000</v>
      </c>
      <c r="F359" s="4">
        <v>56500</v>
      </c>
      <c r="G359" s="1" t="s">
        <v>1320</v>
      </c>
      <c r="H359" t="s">
        <v>1464</v>
      </c>
      <c r="I359" s="1" t="s">
        <v>1308</v>
      </c>
      <c r="J359" s="1" t="s">
        <v>107</v>
      </c>
      <c r="K359" s="1" t="s">
        <v>37</v>
      </c>
      <c r="L359" s="1" t="s">
        <v>38</v>
      </c>
      <c r="M359" s="1" t="s">
        <v>44</v>
      </c>
      <c r="N359" s="1" t="s">
        <v>369</v>
      </c>
      <c r="O359" s="1" t="s">
        <v>370</v>
      </c>
      <c r="P359">
        <v>47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 t="s">
        <v>71</v>
      </c>
      <c r="AH359" s="1" t="str">
        <f t="shared" si="5"/>
        <v>Jr</v>
      </c>
      <c r="AI359" t="s">
        <v>34</v>
      </c>
      <c r="AJ359" s="4">
        <v>56.5</v>
      </c>
      <c r="AK359" s="1">
        <f>Table1[[#This Row],[avg_salary]]*1000</f>
        <v>56500</v>
      </c>
    </row>
    <row r="360" spans="1:37" x14ac:dyDescent="0.3">
      <c r="A360" s="1">
        <v>458</v>
      </c>
      <c r="B360" s="1" t="s">
        <v>542</v>
      </c>
      <c r="C360" s="1" t="s">
        <v>1028</v>
      </c>
      <c r="D360" s="4">
        <v>65000</v>
      </c>
      <c r="E360" s="4">
        <v>134000</v>
      </c>
      <c r="F360" s="4">
        <v>99500</v>
      </c>
      <c r="G360" s="1" t="s">
        <v>1359</v>
      </c>
      <c r="H360" t="s">
        <v>1458</v>
      </c>
      <c r="I360" s="1" t="s">
        <v>1271</v>
      </c>
      <c r="J360" s="1" t="s">
        <v>780</v>
      </c>
      <c r="K360" s="1" t="s">
        <v>157</v>
      </c>
      <c r="L360" s="1" t="s">
        <v>158</v>
      </c>
      <c r="M360" s="1" t="s">
        <v>84</v>
      </c>
      <c r="N360" s="1" t="s">
        <v>519</v>
      </c>
      <c r="O360" s="1" t="s">
        <v>259</v>
      </c>
      <c r="P360">
        <v>23</v>
      </c>
      <c r="Q360" s="1">
        <v>0</v>
      </c>
      <c r="R360" s="1">
        <v>0</v>
      </c>
      <c r="S360" s="1">
        <v>0</v>
      </c>
      <c r="T360" s="1">
        <v>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 t="s">
        <v>71</v>
      </c>
      <c r="AH360" s="1" t="str">
        <f t="shared" si="5"/>
        <v>Jr</v>
      </c>
      <c r="AI360" t="s">
        <v>72</v>
      </c>
      <c r="AJ360" s="4">
        <v>99.5</v>
      </c>
      <c r="AK360" s="1">
        <f>Table1[[#This Row],[avg_salary]]*1000</f>
        <v>99500</v>
      </c>
    </row>
    <row r="361" spans="1:37" x14ac:dyDescent="0.3">
      <c r="A361" s="1">
        <v>459</v>
      </c>
      <c r="B361" s="1" t="s">
        <v>543</v>
      </c>
      <c r="C361" s="1" t="s">
        <v>1029</v>
      </c>
      <c r="D361" s="4">
        <v>32000</v>
      </c>
      <c r="E361" s="4">
        <v>59000</v>
      </c>
      <c r="F361" s="4">
        <v>45500</v>
      </c>
      <c r="G361" s="1" t="s">
        <v>1360</v>
      </c>
      <c r="H361" t="s">
        <v>1450</v>
      </c>
      <c r="I361" s="1" t="s">
        <v>1228</v>
      </c>
      <c r="J361" s="1" t="s">
        <v>780</v>
      </c>
      <c r="K361" s="1" t="s">
        <v>108</v>
      </c>
      <c r="L361" s="1" t="s">
        <v>109</v>
      </c>
      <c r="M361" s="1" t="s">
        <v>50</v>
      </c>
      <c r="N361" s="1" t="s">
        <v>544</v>
      </c>
      <c r="O361" s="1" t="s">
        <v>168</v>
      </c>
      <c r="P361">
        <v>45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 t="s">
        <v>88</v>
      </c>
      <c r="AH361" s="1" t="str">
        <f t="shared" si="5"/>
        <v>Jr</v>
      </c>
      <c r="AI361" t="s">
        <v>34</v>
      </c>
      <c r="AJ361" s="4">
        <v>45.5</v>
      </c>
      <c r="AK361" s="1">
        <f>Table1[[#This Row],[avg_salary]]*1000</f>
        <v>45500</v>
      </c>
    </row>
    <row r="362" spans="1:37" x14ac:dyDescent="0.3">
      <c r="A362" s="1">
        <v>461</v>
      </c>
      <c r="B362" s="1" t="s">
        <v>420</v>
      </c>
      <c r="C362" s="1" t="s">
        <v>1030</v>
      </c>
      <c r="D362" s="4">
        <v>87000</v>
      </c>
      <c r="E362" s="4">
        <v>158000</v>
      </c>
      <c r="F362" s="4">
        <v>122500</v>
      </c>
      <c r="G362" s="1" t="s">
        <v>1247</v>
      </c>
      <c r="H362" t="s">
        <v>1455</v>
      </c>
      <c r="I362" s="1" t="s">
        <v>1248</v>
      </c>
      <c r="J362" s="1" t="s">
        <v>780</v>
      </c>
      <c r="K362" s="1" t="s">
        <v>64</v>
      </c>
      <c r="L362" s="1" t="s">
        <v>43</v>
      </c>
      <c r="M362" s="1" t="s">
        <v>65</v>
      </c>
      <c r="N362" s="1" t="s">
        <v>545</v>
      </c>
      <c r="O362" s="1" t="s">
        <v>207</v>
      </c>
      <c r="P362">
        <v>21</v>
      </c>
      <c r="Q362" s="1">
        <v>1</v>
      </c>
      <c r="R362" s="1">
        <v>1</v>
      </c>
      <c r="S362" s="1">
        <v>1</v>
      </c>
      <c r="T362" s="1">
        <v>0</v>
      </c>
      <c r="U362" s="1">
        <v>1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1</v>
      </c>
      <c r="AB362" s="1">
        <v>0</v>
      </c>
      <c r="AC362" s="1">
        <v>0</v>
      </c>
      <c r="AD362" s="1">
        <v>0</v>
      </c>
      <c r="AE362" s="1">
        <v>1</v>
      </c>
      <c r="AF362" s="1">
        <v>0</v>
      </c>
      <c r="AG362" s="1" t="s">
        <v>98</v>
      </c>
      <c r="AH362" s="1" t="str">
        <f t="shared" si="5"/>
        <v>Sr</v>
      </c>
      <c r="AI362" t="s">
        <v>34</v>
      </c>
      <c r="AJ362" s="4">
        <v>122.5</v>
      </c>
      <c r="AK362" s="1">
        <f>Table1[[#This Row],[avg_salary]]*1000</f>
        <v>122500</v>
      </c>
    </row>
    <row r="363" spans="1:37" x14ac:dyDescent="0.3">
      <c r="A363" s="1">
        <v>462</v>
      </c>
      <c r="B363" s="1" t="s">
        <v>546</v>
      </c>
      <c r="C363" s="1" t="s">
        <v>1031</v>
      </c>
      <c r="D363" s="4">
        <v>107000</v>
      </c>
      <c r="E363" s="4">
        <v>173000</v>
      </c>
      <c r="F363" s="4">
        <v>140000</v>
      </c>
      <c r="G363" s="1" t="s">
        <v>1203</v>
      </c>
      <c r="H363" t="s">
        <v>1444</v>
      </c>
      <c r="I363" s="1" t="s">
        <v>1204</v>
      </c>
      <c r="J363" s="1" t="s">
        <v>781</v>
      </c>
      <c r="K363" s="1" t="s">
        <v>238</v>
      </c>
      <c r="L363" s="1" t="s">
        <v>62</v>
      </c>
      <c r="M363" s="1" t="s">
        <v>58</v>
      </c>
      <c r="N363" s="1" t="s">
        <v>239</v>
      </c>
      <c r="O363" s="1" t="s">
        <v>120</v>
      </c>
      <c r="P363">
        <v>40</v>
      </c>
      <c r="Q363" s="1">
        <v>1</v>
      </c>
      <c r="R363" s="1">
        <v>0</v>
      </c>
      <c r="S363" s="1">
        <v>0</v>
      </c>
      <c r="T363" s="1">
        <v>1</v>
      </c>
      <c r="U363" s="1">
        <v>1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 t="s">
        <v>33</v>
      </c>
      <c r="AH363" s="1" t="str">
        <f t="shared" si="5"/>
        <v>Sr</v>
      </c>
      <c r="AI363" t="s">
        <v>34</v>
      </c>
      <c r="AJ363" s="4">
        <v>140</v>
      </c>
      <c r="AK363" s="1">
        <f>Table1[[#This Row],[avg_salary]]*1000</f>
        <v>140000</v>
      </c>
    </row>
    <row r="364" spans="1:37" x14ac:dyDescent="0.3">
      <c r="A364" s="1">
        <v>463</v>
      </c>
      <c r="B364" s="1" t="s">
        <v>547</v>
      </c>
      <c r="C364" s="1" t="s">
        <v>1032</v>
      </c>
      <c r="D364" s="4">
        <v>56000</v>
      </c>
      <c r="E364" s="4">
        <v>99000</v>
      </c>
      <c r="F364" s="4">
        <v>77500</v>
      </c>
      <c r="G364" s="1" t="s">
        <v>1361</v>
      </c>
      <c r="H364" t="s">
        <v>1440</v>
      </c>
      <c r="I364" s="1" t="s">
        <v>1192</v>
      </c>
      <c r="J364" s="1" t="s">
        <v>107</v>
      </c>
      <c r="K364" s="1" t="s">
        <v>246</v>
      </c>
      <c r="L364" s="1" t="s">
        <v>47</v>
      </c>
      <c r="M364" s="1" t="s">
        <v>58</v>
      </c>
      <c r="N364" s="1" t="s">
        <v>247</v>
      </c>
      <c r="O364" s="1" t="s">
        <v>81</v>
      </c>
      <c r="P364">
        <v>19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 t="s">
        <v>33</v>
      </c>
      <c r="AH364" s="1" t="str">
        <f t="shared" si="5"/>
        <v>Jr</v>
      </c>
      <c r="AI364" t="s">
        <v>72</v>
      </c>
      <c r="AJ364" s="4">
        <v>77.5</v>
      </c>
      <c r="AK364" s="1">
        <f>Table1[[#This Row],[avg_salary]]*1000</f>
        <v>77500</v>
      </c>
    </row>
    <row r="365" spans="1:37" x14ac:dyDescent="0.3">
      <c r="A365" s="1">
        <v>464</v>
      </c>
      <c r="B365" s="1" t="s">
        <v>548</v>
      </c>
      <c r="C365" s="1" t="s">
        <v>1428</v>
      </c>
      <c r="D365" s="4">
        <v>52000</v>
      </c>
      <c r="E365" s="4">
        <v>58000</v>
      </c>
      <c r="F365" s="4">
        <v>55000</v>
      </c>
      <c r="G365" s="1" t="s">
        <v>1195</v>
      </c>
      <c r="H365" t="s">
        <v>1441</v>
      </c>
      <c r="I365" s="1" t="s">
        <v>1196</v>
      </c>
      <c r="J365" s="1" t="s">
        <v>780</v>
      </c>
      <c r="K365" s="1" t="s">
        <v>549</v>
      </c>
      <c r="L365" s="1" t="s">
        <v>550</v>
      </c>
      <c r="M365" s="1" t="s">
        <v>54</v>
      </c>
      <c r="N365" s="1" t="s">
        <v>551</v>
      </c>
      <c r="O365" s="1" t="s">
        <v>91</v>
      </c>
      <c r="P365">
        <v>18</v>
      </c>
      <c r="Q365" s="1">
        <v>0</v>
      </c>
      <c r="R365" s="1">
        <v>0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 t="s">
        <v>71</v>
      </c>
      <c r="AH365" s="1" t="str">
        <f t="shared" si="5"/>
        <v>Jr</v>
      </c>
      <c r="AI365" t="s">
        <v>34</v>
      </c>
      <c r="AJ365" s="4">
        <v>55</v>
      </c>
      <c r="AK365" s="1">
        <f>Table1[[#This Row],[avg_salary]]*1000</f>
        <v>55000</v>
      </c>
    </row>
    <row r="366" spans="1:37" x14ac:dyDescent="0.3">
      <c r="A366" s="1">
        <v>466</v>
      </c>
      <c r="B366" s="1" t="s">
        <v>552</v>
      </c>
      <c r="C366" s="1" t="s">
        <v>1033</v>
      </c>
      <c r="D366" s="4">
        <v>80000</v>
      </c>
      <c r="E366" s="4">
        <v>155000</v>
      </c>
      <c r="F366" s="4">
        <v>117500</v>
      </c>
      <c r="G366" s="1" t="s">
        <v>1359</v>
      </c>
      <c r="H366" t="s">
        <v>1458</v>
      </c>
      <c r="I366" s="1" t="s">
        <v>1271</v>
      </c>
      <c r="J366" s="1" t="s">
        <v>780</v>
      </c>
      <c r="K366" s="1" t="s">
        <v>157</v>
      </c>
      <c r="L366" s="1" t="s">
        <v>158</v>
      </c>
      <c r="M366" s="1" t="s">
        <v>84</v>
      </c>
      <c r="N366" s="1" t="s">
        <v>519</v>
      </c>
      <c r="O366" s="1" t="s">
        <v>259</v>
      </c>
      <c r="P366">
        <v>31</v>
      </c>
      <c r="Q366" s="1">
        <v>0</v>
      </c>
      <c r="R366" s="1">
        <v>0</v>
      </c>
      <c r="S366" s="1">
        <v>0</v>
      </c>
      <c r="T366" s="1">
        <v>1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 t="s">
        <v>71</v>
      </c>
      <c r="AH366" s="1" t="str">
        <f t="shared" si="5"/>
        <v>Sr</v>
      </c>
      <c r="AI366" t="s">
        <v>34</v>
      </c>
      <c r="AJ366" s="4">
        <v>117.5</v>
      </c>
      <c r="AK366" s="1">
        <f>Table1[[#This Row],[avg_salary]]*1000</f>
        <v>117500</v>
      </c>
    </row>
    <row r="367" spans="1:37" x14ac:dyDescent="0.3">
      <c r="A367" s="1">
        <v>467</v>
      </c>
      <c r="B367" s="1" t="s">
        <v>553</v>
      </c>
      <c r="C367" s="1" t="s">
        <v>1034</v>
      </c>
      <c r="D367" s="4">
        <v>43000</v>
      </c>
      <c r="E367" s="4">
        <v>98000</v>
      </c>
      <c r="F367" s="4">
        <v>70500</v>
      </c>
      <c r="G367" s="1" t="s">
        <v>1235</v>
      </c>
      <c r="H367" t="s">
        <v>1439</v>
      </c>
      <c r="I367" s="1" t="s">
        <v>1189</v>
      </c>
      <c r="J367" s="1" t="s">
        <v>780</v>
      </c>
      <c r="K367" s="1" t="s">
        <v>89</v>
      </c>
      <c r="L367" s="1" t="s">
        <v>89</v>
      </c>
      <c r="M367" s="1" t="s">
        <v>30</v>
      </c>
      <c r="N367" s="1" t="s">
        <v>554</v>
      </c>
      <c r="O367" s="1" t="s">
        <v>67</v>
      </c>
      <c r="P367">
        <v>28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 t="s">
        <v>71</v>
      </c>
      <c r="AH367" s="1" t="str">
        <f t="shared" si="5"/>
        <v>Jr</v>
      </c>
      <c r="AI367" t="s">
        <v>34</v>
      </c>
      <c r="AJ367" s="4">
        <v>70.5</v>
      </c>
      <c r="AK367" s="1">
        <f>Table1[[#This Row],[avg_salary]]*1000</f>
        <v>70500</v>
      </c>
    </row>
    <row r="368" spans="1:37" x14ac:dyDescent="0.3">
      <c r="A368" s="1">
        <v>468</v>
      </c>
      <c r="B368" s="1" t="s">
        <v>555</v>
      </c>
      <c r="C368" s="1" t="s">
        <v>1035</v>
      </c>
      <c r="D368" s="4">
        <v>45000</v>
      </c>
      <c r="E368" s="4">
        <v>78000</v>
      </c>
      <c r="F368" s="4">
        <v>61500</v>
      </c>
      <c r="G368" s="1" t="s">
        <v>1200</v>
      </c>
      <c r="H368" t="s">
        <v>1439</v>
      </c>
      <c r="I368" s="1" t="s">
        <v>1189</v>
      </c>
      <c r="J368" s="1" t="s">
        <v>780</v>
      </c>
      <c r="K368" s="1" t="s">
        <v>145</v>
      </c>
      <c r="L368" s="1" t="s">
        <v>74</v>
      </c>
      <c r="M368" s="1" t="s">
        <v>65</v>
      </c>
      <c r="N368" s="1" t="s">
        <v>556</v>
      </c>
      <c r="O368" s="1" t="s">
        <v>67</v>
      </c>
      <c r="P368">
        <v>54</v>
      </c>
      <c r="Q368" s="1">
        <v>0</v>
      </c>
      <c r="R368" s="1">
        <v>0</v>
      </c>
      <c r="S368" s="1">
        <v>0</v>
      </c>
      <c r="T368" s="1">
        <v>1</v>
      </c>
      <c r="U368" s="1">
        <v>1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 t="s">
        <v>295</v>
      </c>
      <c r="AH368" s="1" t="str">
        <f t="shared" si="5"/>
        <v>Jr</v>
      </c>
      <c r="AI368" t="s">
        <v>34</v>
      </c>
      <c r="AJ368" s="4">
        <v>61.5</v>
      </c>
      <c r="AK368" s="1">
        <f>Table1[[#This Row],[avg_salary]]*1000</f>
        <v>61500</v>
      </c>
    </row>
    <row r="369" spans="1:37" x14ac:dyDescent="0.3">
      <c r="A369" s="1">
        <v>469</v>
      </c>
      <c r="B369" s="1" t="s">
        <v>557</v>
      </c>
      <c r="C369" s="1" t="s">
        <v>1036</v>
      </c>
      <c r="D369" s="4">
        <v>44000</v>
      </c>
      <c r="E369" s="4">
        <v>96000</v>
      </c>
      <c r="F369" s="4">
        <v>70000</v>
      </c>
      <c r="G369" s="1" t="s">
        <v>1362</v>
      </c>
      <c r="H369" t="s">
        <v>1183</v>
      </c>
      <c r="I369" s="1" t="s">
        <v>1184</v>
      </c>
      <c r="J369" s="1" t="s">
        <v>780</v>
      </c>
      <c r="K369" s="1" t="s">
        <v>89</v>
      </c>
      <c r="L369" s="1" t="s">
        <v>89</v>
      </c>
      <c r="M369" s="1" t="s">
        <v>54</v>
      </c>
      <c r="N369" s="1" t="s">
        <v>558</v>
      </c>
      <c r="O369" s="1" t="s">
        <v>56</v>
      </c>
      <c r="P369">
        <v>35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 t="s">
        <v>71</v>
      </c>
      <c r="AH369" s="1" t="str">
        <f t="shared" si="5"/>
        <v>Jr</v>
      </c>
      <c r="AI369" t="s">
        <v>34</v>
      </c>
      <c r="AJ369" s="4">
        <v>70</v>
      </c>
      <c r="AK369" s="1">
        <f>Table1[[#This Row],[avg_salary]]*1000</f>
        <v>70000</v>
      </c>
    </row>
    <row r="370" spans="1:37" x14ac:dyDescent="0.3">
      <c r="A370" s="1">
        <v>470</v>
      </c>
      <c r="B370" s="1" t="s">
        <v>559</v>
      </c>
      <c r="C370" s="1" t="s">
        <v>1037</v>
      </c>
      <c r="D370" s="4">
        <v>50000</v>
      </c>
      <c r="E370" s="4">
        <v>110000</v>
      </c>
      <c r="F370" s="4">
        <v>80000</v>
      </c>
      <c r="G370" s="1" t="s">
        <v>1363</v>
      </c>
      <c r="H370" t="s">
        <v>1454</v>
      </c>
      <c r="I370" s="1" t="s">
        <v>1244</v>
      </c>
      <c r="J370" s="1" t="s">
        <v>780</v>
      </c>
      <c r="K370" s="1" t="s">
        <v>89</v>
      </c>
      <c r="L370" s="1" t="s">
        <v>89</v>
      </c>
      <c r="M370" s="1" t="s">
        <v>54</v>
      </c>
      <c r="N370" s="1" t="s">
        <v>558</v>
      </c>
      <c r="O370" s="1" t="s">
        <v>197</v>
      </c>
      <c r="P370">
        <v>47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 t="s">
        <v>71</v>
      </c>
      <c r="AH370" s="1" t="str">
        <f t="shared" si="5"/>
        <v>Jr</v>
      </c>
      <c r="AI370" t="s">
        <v>34</v>
      </c>
      <c r="AJ370" s="4">
        <v>80</v>
      </c>
      <c r="AK370" s="1">
        <f>Table1[[#This Row],[avg_salary]]*1000</f>
        <v>80000</v>
      </c>
    </row>
    <row r="371" spans="1:37" x14ac:dyDescent="0.3">
      <c r="A371" s="1">
        <v>471</v>
      </c>
      <c r="B371" s="1" t="s">
        <v>560</v>
      </c>
      <c r="C371" s="1" t="s">
        <v>1038</v>
      </c>
      <c r="D371" s="4">
        <v>61000</v>
      </c>
      <c r="E371" s="4">
        <v>119000</v>
      </c>
      <c r="F371" s="4">
        <v>90000</v>
      </c>
      <c r="G371" s="1" t="s">
        <v>1364</v>
      </c>
      <c r="H371" t="s">
        <v>1441</v>
      </c>
      <c r="I371" s="1" t="s">
        <v>1196</v>
      </c>
      <c r="J371" s="1" t="s">
        <v>780</v>
      </c>
      <c r="K371" s="1" t="s">
        <v>108</v>
      </c>
      <c r="L371" s="1" t="s">
        <v>109</v>
      </c>
      <c r="M371" s="1" t="s">
        <v>44</v>
      </c>
      <c r="N371" s="1" t="s">
        <v>561</v>
      </c>
      <c r="O371" s="1" t="s">
        <v>91</v>
      </c>
      <c r="P371">
        <v>50</v>
      </c>
      <c r="Q371" s="1">
        <v>0</v>
      </c>
      <c r="R371" s="1">
        <v>1</v>
      </c>
      <c r="S371" s="1">
        <v>0</v>
      </c>
      <c r="T371" s="1">
        <v>1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 t="s">
        <v>98</v>
      </c>
      <c r="AH371" s="1" t="str">
        <f t="shared" si="5"/>
        <v>Jr</v>
      </c>
      <c r="AI371" t="s">
        <v>72</v>
      </c>
      <c r="AJ371" s="4">
        <v>90</v>
      </c>
      <c r="AK371" s="1">
        <f>Table1[[#This Row],[avg_salary]]*1000</f>
        <v>90000</v>
      </c>
    </row>
    <row r="372" spans="1:37" x14ac:dyDescent="0.3">
      <c r="A372" s="1">
        <v>472</v>
      </c>
      <c r="B372" s="1" t="s">
        <v>562</v>
      </c>
      <c r="C372" s="1" t="s">
        <v>1420</v>
      </c>
      <c r="D372" s="4">
        <v>100000</v>
      </c>
      <c r="E372" s="4">
        <v>140000</v>
      </c>
      <c r="F372" s="4">
        <v>120000</v>
      </c>
      <c r="G372" s="1" t="s">
        <v>1195</v>
      </c>
      <c r="H372" t="s">
        <v>1441</v>
      </c>
      <c r="I372" s="1" t="s">
        <v>1196</v>
      </c>
      <c r="J372" s="1" t="s">
        <v>780</v>
      </c>
      <c r="K372" s="1" t="s">
        <v>89</v>
      </c>
      <c r="L372" s="1" t="s">
        <v>74</v>
      </c>
      <c r="M372" s="1" t="s">
        <v>54</v>
      </c>
      <c r="N372" s="1" t="s">
        <v>563</v>
      </c>
      <c r="O372" s="1" t="s">
        <v>91</v>
      </c>
      <c r="P372">
        <v>19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 t="s">
        <v>71</v>
      </c>
      <c r="AH372" s="1" t="str">
        <f t="shared" si="5"/>
        <v>Sr</v>
      </c>
      <c r="AI372" t="s">
        <v>72</v>
      </c>
      <c r="AJ372" s="4">
        <v>120</v>
      </c>
      <c r="AK372" s="1">
        <f>Table1[[#This Row],[avg_salary]]*1000</f>
        <v>120000</v>
      </c>
    </row>
    <row r="373" spans="1:37" x14ac:dyDescent="0.3">
      <c r="A373" s="1">
        <v>473</v>
      </c>
      <c r="B373" s="1" t="s">
        <v>564</v>
      </c>
      <c r="C373" s="1" t="s">
        <v>1039</v>
      </c>
      <c r="D373" s="4">
        <v>56000</v>
      </c>
      <c r="E373" s="4">
        <v>91000</v>
      </c>
      <c r="F373" s="4">
        <v>73500</v>
      </c>
      <c r="G373" s="1" t="s">
        <v>1252</v>
      </c>
      <c r="H373" t="s">
        <v>1453</v>
      </c>
      <c r="I373" s="1" t="s">
        <v>1241</v>
      </c>
      <c r="J373" s="1" t="s">
        <v>322</v>
      </c>
      <c r="K373" s="1" t="s">
        <v>323</v>
      </c>
      <c r="L373" s="1" t="s">
        <v>255</v>
      </c>
      <c r="M373" s="1" t="s">
        <v>54</v>
      </c>
      <c r="N373" s="1" t="s">
        <v>324</v>
      </c>
      <c r="O373" s="1" t="s">
        <v>194</v>
      </c>
      <c r="P373">
        <v>22</v>
      </c>
      <c r="Q373" s="1">
        <v>0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 t="s">
        <v>71</v>
      </c>
      <c r="AH373" s="1" t="str">
        <f t="shared" si="5"/>
        <v>Jr</v>
      </c>
      <c r="AI373" t="s">
        <v>72</v>
      </c>
      <c r="AJ373" s="4">
        <v>73.5</v>
      </c>
      <c r="AK373" s="1">
        <f>Table1[[#This Row],[avg_salary]]*1000</f>
        <v>73500</v>
      </c>
    </row>
    <row r="374" spans="1:37" x14ac:dyDescent="0.3">
      <c r="A374" s="1">
        <v>476</v>
      </c>
      <c r="B374" s="1" t="s">
        <v>28</v>
      </c>
      <c r="C374" s="1" t="s">
        <v>825</v>
      </c>
      <c r="D374" s="4">
        <v>68000</v>
      </c>
      <c r="E374" s="4">
        <v>114000</v>
      </c>
      <c r="F374" s="4">
        <v>91000</v>
      </c>
      <c r="G374" s="1" t="s">
        <v>1230</v>
      </c>
      <c r="H374" t="s">
        <v>1437</v>
      </c>
      <c r="I374" s="1" t="s">
        <v>1180</v>
      </c>
      <c r="J374" s="1" t="s">
        <v>93</v>
      </c>
      <c r="K374" s="1" t="s">
        <v>53</v>
      </c>
      <c r="L374" s="1" t="s">
        <v>43</v>
      </c>
      <c r="M374" s="1" t="s">
        <v>54</v>
      </c>
      <c r="N374" s="1" t="s">
        <v>172</v>
      </c>
      <c r="O374" s="1" t="s">
        <v>46</v>
      </c>
      <c r="P374">
        <v>20</v>
      </c>
      <c r="Q374" s="1">
        <v>1</v>
      </c>
      <c r="R374" s="1">
        <v>0</v>
      </c>
      <c r="S374" s="1">
        <v>0</v>
      </c>
      <c r="T374" s="1">
        <v>1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1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 t="s">
        <v>33</v>
      </c>
      <c r="AH374" s="1" t="str">
        <f t="shared" si="5"/>
        <v>Jr</v>
      </c>
      <c r="AI374" t="s">
        <v>72</v>
      </c>
      <c r="AJ374" s="4">
        <v>91</v>
      </c>
      <c r="AK374" s="1">
        <f>Table1[[#This Row],[avg_salary]]*1000</f>
        <v>91000</v>
      </c>
    </row>
    <row r="375" spans="1:37" x14ac:dyDescent="0.3">
      <c r="A375" s="1">
        <v>477</v>
      </c>
      <c r="B375" s="1" t="s">
        <v>28</v>
      </c>
      <c r="C375" s="1" t="s">
        <v>1415</v>
      </c>
      <c r="D375" s="4">
        <v>150000</v>
      </c>
      <c r="E375" s="4">
        <v>160000</v>
      </c>
      <c r="F375" s="4">
        <v>155000</v>
      </c>
      <c r="G375" s="1" t="s">
        <v>1223</v>
      </c>
      <c r="H375" t="s">
        <v>1449</v>
      </c>
      <c r="I375" s="1" t="s">
        <v>1224</v>
      </c>
      <c r="J375" s="1" t="s">
        <v>780</v>
      </c>
      <c r="K375" s="1" t="s">
        <v>103</v>
      </c>
      <c r="L375" s="1" t="s">
        <v>74</v>
      </c>
      <c r="M375" s="1" t="s">
        <v>54</v>
      </c>
      <c r="N375" s="1" t="s">
        <v>161</v>
      </c>
      <c r="O375" s="1" t="s">
        <v>162</v>
      </c>
      <c r="P375">
        <v>21</v>
      </c>
      <c r="Q375" s="1">
        <v>0</v>
      </c>
      <c r="R375" s="1">
        <v>0</v>
      </c>
      <c r="S375" s="1">
        <v>1</v>
      </c>
      <c r="T375" s="1">
        <v>1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 t="s">
        <v>33</v>
      </c>
      <c r="AH375" s="1" t="str">
        <f t="shared" si="5"/>
        <v>Sr</v>
      </c>
      <c r="AI375" t="s">
        <v>34</v>
      </c>
      <c r="AJ375" s="4">
        <v>155</v>
      </c>
      <c r="AK375" s="1">
        <f>Table1[[#This Row],[avg_salary]]*1000</f>
        <v>155000</v>
      </c>
    </row>
    <row r="376" spans="1:37" x14ac:dyDescent="0.3">
      <c r="A376" s="1">
        <v>479</v>
      </c>
      <c r="B376" s="1" t="s">
        <v>565</v>
      </c>
      <c r="C376" s="1" t="s">
        <v>1040</v>
      </c>
      <c r="D376" s="4">
        <v>101000</v>
      </c>
      <c r="E376" s="4">
        <v>158000</v>
      </c>
      <c r="F376" s="4">
        <v>129500</v>
      </c>
      <c r="G376" s="1" t="s">
        <v>1231</v>
      </c>
      <c r="H376" t="s">
        <v>1441</v>
      </c>
      <c r="I376" s="1" t="s">
        <v>1196</v>
      </c>
      <c r="J376" s="1" t="s">
        <v>780</v>
      </c>
      <c r="K376" s="1" t="s">
        <v>108</v>
      </c>
      <c r="L376" s="1" t="s">
        <v>109</v>
      </c>
      <c r="M376" s="1" t="s">
        <v>84</v>
      </c>
      <c r="N376" s="1" t="s">
        <v>338</v>
      </c>
      <c r="O376" s="1" t="s">
        <v>91</v>
      </c>
      <c r="P376">
        <v>25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1</v>
      </c>
      <c r="AB376" s="1">
        <v>1</v>
      </c>
      <c r="AC376" s="1">
        <v>1</v>
      </c>
      <c r="AD376" s="1">
        <v>0</v>
      </c>
      <c r="AE376" s="1">
        <v>0</v>
      </c>
      <c r="AF376" s="1">
        <v>0</v>
      </c>
      <c r="AG376" s="1" t="s">
        <v>1472</v>
      </c>
      <c r="AH376" s="1" t="str">
        <f t="shared" si="5"/>
        <v>Sr</v>
      </c>
      <c r="AI376" t="s">
        <v>34</v>
      </c>
      <c r="AJ376" s="4">
        <v>129.5</v>
      </c>
      <c r="AK376" s="1">
        <f>Table1[[#This Row],[avg_salary]]*1000</f>
        <v>129500</v>
      </c>
    </row>
    <row r="377" spans="1:37" x14ac:dyDescent="0.3">
      <c r="A377" s="1">
        <v>482</v>
      </c>
      <c r="B377" s="1" t="s">
        <v>566</v>
      </c>
      <c r="C377" s="1" t="s">
        <v>1041</v>
      </c>
      <c r="D377" s="4">
        <v>125000</v>
      </c>
      <c r="E377" s="4">
        <v>210000</v>
      </c>
      <c r="F377" s="4">
        <v>167500</v>
      </c>
      <c r="G377" s="1" t="s">
        <v>1183</v>
      </c>
      <c r="H377" t="s">
        <v>1183</v>
      </c>
      <c r="I377" s="1" t="s">
        <v>1184</v>
      </c>
      <c r="J377" s="1" t="s">
        <v>781</v>
      </c>
      <c r="K377" s="1" t="s">
        <v>89</v>
      </c>
      <c r="L377" s="1" t="s">
        <v>89</v>
      </c>
      <c r="M377" s="1" t="s">
        <v>84</v>
      </c>
      <c r="N377" s="1" t="s">
        <v>126</v>
      </c>
      <c r="O377" s="1" t="s">
        <v>56</v>
      </c>
      <c r="P377">
        <v>58</v>
      </c>
      <c r="Q377" s="1">
        <v>0</v>
      </c>
      <c r="R377" s="1">
        <v>0</v>
      </c>
      <c r="S377" s="1">
        <v>1</v>
      </c>
      <c r="T377" s="1">
        <v>1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 t="s">
        <v>33</v>
      </c>
      <c r="AH377" s="1" t="str">
        <f t="shared" si="5"/>
        <v>Sr</v>
      </c>
      <c r="AI377" t="s">
        <v>34</v>
      </c>
      <c r="AJ377" s="4">
        <v>167.5</v>
      </c>
      <c r="AK377" s="1">
        <f>Table1[[#This Row],[avg_salary]]*1000</f>
        <v>167500</v>
      </c>
    </row>
    <row r="378" spans="1:37" x14ac:dyDescent="0.3">
      <c r="A378" s="1">
        <v>483</v>
      </c>
      <c r="B378" s="1" t="s">
        <v>567</v>
      </c>
      <c r="C378" s="1" t="s">
        <v>1042</v>
      </c>
      <c r="D378" s="4">
        <v>43000</v>
      </c>
      <c r="E378" s="4">
        <v>77000</v>
      </c>
      <c r="F378" s="4">
        <v>60000</v>
      </c>
      <c r="G378" s="1" t="s">
        <v>1365</v>
      </c>
      <c r="H378" t="s">
        <v>1457</v>
      </c>
      <c r="I378" s="1" t="s">
        <v>1266</v>
      </c>
      <c r="J378" s="1" t="s">
        <v>781</v>
      </c>
      <c r="K378" s="1" t="s">
        <v>61</v>
      </c>
      <c r="L378" s="1" t="s">
        <v>62</v>
      </c>
      <c r="M378" s="1" t="s">
        <v>58</v>
      </c>
      <c r="N378" s="1" t="s">
        <v>568</v>
      </c>
      <c r="O378" s="1" t="s">
        <v>249</v>
      </c>
      <c r="P378">
        <v>58</v>
      </c>
      <c r="Q378" s="1">
        <v>0</v>
      </c>
      <c r="R378" s="1">
        <v>0</v>
      </c>
      <c r="S378" s="1">
        <v>1</v>
      </c>
      <c r="T378" s="1">
        <v>1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 t="s">
        <v>88</v>
      </c>
      <c r="AH378" s="1" t="str">
        <f t="shared" si="5"/>
        <v>Jr</v>
      </c>
      <c r="AI378" t="s">
        <v>34</v>
      </c>
      <c r="AJ378" s="4">
        <v>60</v>
      </c>
      <c r="AK378" s="1">
        <f>Table1[[#This Row],[avg_salary]]*1000</f>
        <v>60000</v>
      </c>
    </row>
    <row r="379" spans="1:37" x14ac:dyDescent="0.3">
      <c r="A379" s="1">
        <v>485</v>
      </c>
      <c r="B379" s="1" t="s">
        <v>163</v>
      </c>
      <c r="C379" s="1" t="s">
        <v>1043</v>
      </c>
      <c r="D379" s="4">
        <v>139000</v>
      </c>
      <c r="E379" s="4">
        <v>221000</v>
      </c>
      <c r="F379" s="4">
        <v>180000</v>
      </c>
      <c r="G379" s="1" t="s">
        <v>1310</v>
      </c>
      <c r="H379" t="s">
        <v>1439</v>
      </c>
      <c r="I379" s="1" t="s">
        <v>1189</v>
      </c>
      <c r="J379" s="1" t="s">
        <v>780</v>
      </c>
      <c r="K379" s="1" t="s">
        <v>238</v>
      </c>
      <c r="L379" s="1" t="s">
        <v>62</v>
      </c>
      <c r="M379" s="1" t="s">
        <v>30</v>
      </c>
      <c r="N379" s="1" t="s">
        <v>380</v>
      </c>
      <c r="O379" s="1" t="s">
        <v>67</v>
      </c>
      <c r="P379">
        <v>45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 t="s">
        <v>33</v>
      </c>
      <c r="AH379" s="1" t="str">
        <f t="shared" si="5"/>
        <v>Sr</v>
      </c>
      <c r="AI379" t="s">
        <v>34</v>
      </c>
      <c r="AJ379" s="4">
        <v>180</v>
      </c>
      <c r="AK379" s="1">
        <f>Table1[[#This Row],[avg_salary]]*1000</f>
        <v>180000</v>
      </c>
    </row>
    <row r="380" spans="1:37" x14ac:dyDescent="0.3">
      <c r="A380" s="1">
        <v>486</v>
      </c>
      <c r="B380" s="1" t="s">
        <v>569</v>
      </c>
      <c r="C380" s="1" t="s">
        <v>951</v>
      </c>
      <c r="D380" s="4">
        <v>44000</v>
      </c>
      <c r="E380" s="4">
        <v>86000</v>
      </c>
      <c r="F380" s="4">
        <v>65000</v>
      </c>
      <c r="G380" s="1" t="s">
        <v>1183</v>
      </c>
      <c r="H380" t="s">
        <v>1183</v>
      </c>
      <c r="I380" s="1" t="s">
        <v>1184</v>
      </c>
      <c r="J380" s="1" t="s">
        <v>780</v>
      </c>
      <c r="K380" s="1" t="s">
        <v>311</v>
      </c>
      <c r="L380" s="1" t="s">
        <v>312</v>
      </c>
      <c r="M380" s="1" t="s">
        <v>39</v>
      </c>
      <c r="N380" s="1" t="s">
        <v>427</v>
      </c>
      <c r="O380" s="1" t="s">
        <v>56</v>
      </c>
      <c r="P380">
        <v>21</v>
      </c>
      <c r="Q380" s="1">
        <v>0</v>
      </c>
      <c r="R380" s="1">
        <v>0</v>
      </c>
      <c r="S380" s="1">
        <v>0</v>
      </c>
      <c r="T380" s="1">
        <v>1</v>
      </c>
      <c r="U380" s="1">
        <v>1</v>
      </c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 t="s">
        <v>88</v>
      </c>
      <c r="AH380" s="1" t="str">
        <f t="shared" si="5"/>
        <v>Jr</v>
      </c>
      <c r="AI380" t="s">
        <v>34</v>
      </c>
      <c r="AJ380" s="4">
        <v>65</v>
      </c>
      <c r="AK380" s="1">
        <f>Table1[[#This Row],[avg_salary]]*1000</f>
        <v>65000</v>
      </c>
    </row>
    <row r="381" spans="1:37" x14ac:dyDescent="0.3">
      <c r="A381" s="1">
        <v>487</v>
      </c>
      <c r="B381" s="1" t="s">
        <v>282</v>
      </c>
      <c r="C381" s="1" t="s">
        <v>1044</v>
      </c>
      <c r="D381" s="4">
        <v>78000</v>
      </c>
      <c r="E381" s="4">
        <v>147000</v>
      </c>
      <c r="F381" s="4">
        <v>112500</v>
      </c>
      <c r="G381" s="1" t="s">
        <v>1366</v>
      </c>
      <c r="H381" t="s">
        <v>1458</v>
      </c>
      <c r="I381" s="1" t="s">
        <v>1271</v>
      </c>
      <c r="J381" s="1" t="s">
        <v>780</v>
      </c>
      <c r="K381" s="1" t="s">
        <v>145</v>
      </c>
      <c r="L381" s="1" t="s">
        <v>74</v>
      </c>
      <c r="M381" s="1" t="s">
        <v>58</v>
      </c>
      <c r="N381" s="1" t="s">
        <v>570</v>
      </c>
      <c r="O381" s="1" t="s">
        <v>259</v>
      </c>
      <c r="P381">
        <v>47</v>
      </c>
      <c r="Q381" s="1">
        <v>1</v>
      </c>
      <c r="R381" s="1">
        <v>1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1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 t="s">
        <v>98</v>
      </c>
      <c r="AH381" s="1" t="str">
        <f t="shared" si="5"/>
        <v>Jr</v>
      </c>
      <c r="AI381" t="s">
        <v>72</v>
      </c>
      <c r="AJ381" s="4">
        <v>112.5</v>
      </c>
      <c r="AK381" s="1">
        <f>Table1[[#This Row],[avg_salary]]*1000</f>
        <v>112500</v>
      </c>
    </row>
    <row r="382" spans="1:37" x14ac:dyDescent="0.3">
      <c r="A382" s="1">
        <v>488</v>
      </c>
      <c r="B382" s="1" t="s">
        <v>264</v>
      </c>
      <c r="C382" s="1" t="s">
        <v>869</v>
      </c>
      <c r="D382" s="4">
        <v>65000</v>
      </c>
      <c r="E382" s="4">
        <v>110000</v>
      </c>
      <c r="F382" s="4">
        <v>87500</v>
      </c>
      <c r="G382" s="1" t="s">
        <v>1183</v>
      </c>
      <c r="H382" t="s">
        <v>1183</v>
      </c>
      <c r="I382" s="1" t="s">
        <v>1184</v>
      </c>
      <c r="J382" s="1" t="s">
        <v>780</v>
      </c>
      <c r="K382" s="1" t="s">
        <v>83</v>
      </c>
      <c r="L382" s="1" t="s">
        <v>77</v>
      </c>
      <c r="M382" s="1" t="s">
        <v>44</v>
      </c>
      <c r="N382" s="1" t="s">
        <v>571</v>
      </c>
      <c r="O382" s="1" t="s">
        <v>56</v>
      </c>
      <c r="P382">
        <v>18</v>
      </c>
      <c r="Q382" s="1">
        <v>1</v>
      </c>
      <c r="R382" s="1">
        <v>0</v>
      </c>
      <c r="S382" s="1">
        <v>0</v>
      </c>
      <c r="T382" s="1">
        <v>1</v>
      </c>
      <c r="U382" s="1">
        <v>1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 t="s">
        <v>88</v>
      </c>
      <c r="AH382" s="1" t="str">
        <f t="shared" si="5"/>
        <v>Jr</v>
      </c>
      <c r="AI382" t="s">
        <v>72</v>
      </c>
      <c r="AJ382" s="4">
        <v>87.5</v>
      </c>
      <c r="AK382" s="1">
        <f>Table1[[#This Row],[avg_salary]]*1000</f>
        <v>87500</v>
      </c>
    </row>
    <row r="383" spans="1:37" x14ac:dyDescent="0.3">
      <c r="A383" s="1">
        <v>489</v>
      </c>
      <c r="B383" s="1" t="s">
        <v>572</v>
      </c>
      <c r="C383" s="1" t="s">
        <v>1045</v>
      </c>
      <c r="D383" s="4">
        <v>37000</v>
      </c>
      <c r="E383" s="4">
        <v>66000</v>
      </c>
      <c r="F383" s="4">
        <v>51500</v>
      </c>
      <c r="G383" s="1" t="s">
        <v>1247</v>
      </c>
      <c r="H383" t="s">
        <v>1455</v>
      </c>
      <c r="I383" s="1" t="s">
        <v>1248</v>
      </c>
      <c r="J383" s="1" t="s">
        <v>780</v>
      </c>
      <c r="K383" s="1" t="s">
        <v>108</v>
      </c>
      <c r="L383" s="1" t="s">
        <v>109</v>
      </c>
      <c r="M383" s="1" t="s">
        <v>84</v>
      </c>
      <c r="N383" s="1" t="s">
        <v>174</v>
      </c>
      <c r="O383" s="1" t="s">
        <v>207</v>
      </c>
      <c r="P383">
        <v>27</v>
      </c>
      <c r="Q383" s="1">
        <v>1</v>
      </c>
      <c r="R383" s="1">
        <v>0</v>
      </c>
      <c r="S383" s="1">
        <v>0</v>
      </c>
      <c r="T383" s="1">
        <v>1</v>
      </c>
      <c r="U383" s="1">
        <v>1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1</v>
      </c>
      <c r="AD383" s="1">
        <v>0</v>
      </c>
      <c r="AE383" s="1">
        <v>0</v>
      </c>
      <c r="AF383" s="1">
        <v>0</v>
      </c>
      <c r="AG383" s="1" t="s">
        <v>242</v>
      </c>
      <c r="AH383" s="1" t="str">
        <f t="shared" si="5"/>
        <v>Jr</v>
      </c>
      <c r="AI383" t="s">
        <v>34</v>
      </c>
      <c r="AJ383" s="4">
        <v>51.5</v>
      </c>
      <c r="AK383" s="1">
        <f>Table1[[#This Row],[avg_salary]]*1000</f>
        <v>51500</v>
      </c>
    </row>
    <row r="384" spans="1:37" x14ac:dyDescent="0.3">
      <c r="A384" s="1">
        <v>490</v>
      </c>
      <c r="B384" s="1" t="s">
        <v>573</v>
      </c>
      <c r="C384" s="1" t="s">
        <v>1046</v>
      </c>
      <c r="D384" s="4">
        <v>38000</v>
      </c>
      <c r="E384" s="4">
        <v>64000</v>
      </c>
      <c r="F384" s="4">
        <v>51000</v>
      </c>
      <c r="G384" s="1" t="s">
        <v>1367</v>
      </c>
      <c r="H384" t="s">
        <v>1439</v>
      </c>
      <c r="I384" s="1" t="s">
        <v>1189</v>
      </c>
      <c r="J384" s="1" t="s">
        <v>780</v>
      </c>
      <c r="K384" s="1" t="s">
        <v>290</v>
      </c>
      <c r="L384" s="1" t="s">
        <v>43</v>
      </c>
      <c r="M384" s="1" t="s">
        <v>121</v>
      </c>
      <c r="N384" s="1" t="s">
        <v>574</v>
      </c>
      <c r="O384" s="1" t="s">
        <v>67</v>
      </c>
      <c r="P384">
        <v>25</v>
      </c>
      <c r="Q384" s="1">
        <v>0</v>
      </c>
      <c r="R384" s="1">
        <v>0</v>
      </c>
      <c r="S384" s="1">
        <v>0</v>
      </c>
      <c r="T384" s="1">
        <v>1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 t="s">
        <v>71</v>
      </c>
      <c r="AH384" s="1" t="str">
        <f t="shared" si="5"/>
        <v>Jr</v>
      </c>
      <c r="AI384" t="s">
        <v>34</v>
      </c>
      <c r="AJ384" s="4">
        <v>51</v>
      </c>
      <c r="AK384" s="1">
        <f>Table1[[#This Row],[avg_salary]]*1000</f>
        <v>51000</v>
      </c>
    </row>
    <row r="385" spans="1:37" x14ac:dyDescent="0.3">
      <c r="A385" s="1">
        <v>491</v>
      </c>
      <c r="B385" s="1" t="s">
        <v>575</v>
      </c>
      <c r="C385" s="1" t="s">
        <v>1047</v>
      </c>
      <c r="D385" s="4">
        <v>43000</v>
      </c>
      <c r="E385" s="4">
        <v>82000</v>
      </c>
      <c r="F385" s="4">
        <v>62500</v>
      </c>
      <c r="G385" s="1" t="s">
        <v>1231</v>
      </c>
      <c r="H385" t="s">
        <v>1441</v>
      </c>
      <c r="I385" s="1" t="s">
        <v>1196</v>
      </c>
      <c r="J385" s="1" t="s">
        <v>780</v>
      </c>
      <c r="K385" s="1" t="s">
        <v>61</v>
      </c>
      <c r="L385" s="1" t="s">
        <v>62</v>
      </c>
      <c r="M385" s="1" t="s">
        <v>84</v>
      </c>
      <c r="N385" s="1" t="s">
        <v>576</v>
      </c>
      <c r="O385" s="1" t="s">
        <v>91</v>
      </c>
      <c r="P385">
        <v>25</v>
      </c>
      <c r="Q385" s="1">
        <v>1</v>
      </c>
      <c r="R385" s="1">
        <v>0</v>
      </c>
      <c r="S385" s="1">
        <v>0</v>
      </c>
      <c r="T385" s="1">
        <v>1</v>
      </c>
      <c r="U385" s="1">
        <v>1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 t="s">
        <v>33</v>
      </c>
      <c r="AH385" s="1" t="str">
        <f t="shared" si="5"/>
        <v>Jr</v>
      </c>
      <c r="AI385" t="s">
        <v>34</v>
      </c>
      <c r="AJ385" s="4">
        <v>62.5</v>
      </c>
      <c r="AK385" s="1">
        <f>Table1[[#This Row],[avg_salary]]*1000</f>
        <v>62500</v>
      </c>
    </row>
    <row r="386" spans="1:37" x14ac:dyDescent="0.3">
      <c r="A386" s="1">
        <v>492</v>
      </c>
      <c r="B386" s="1" t="s">
        <v>577</v>
      </c>
      <c r="C386" s="1" t="s">
        <v>1413</v>
      </c>
      <c r="D386" s="4">
        <v>90000</v>
      </c>
      <c r="E386" s="4">
        <v>110000</v>
      </c>
      <c r="F386" s="4">
        <v>100000</v>
      </c>
      <c r="G386" s="1" t="s">
        <v>1368</v>
      </c>
      <c r="H386" t="s">
        <v>1459</v>
      </c>
      <c r="I386" s="1" t="s">
        <v>1275</v>
      </c>
      <c r="J386" s="1" t="s">
        <v>781</v>
      </c>
      <c r="K386" s="1" t="s">
        <v>37</v>
      </c>
      <c r="L386" s="1" t="s">
        <v>38</v>
      </c>
      <c r="M386" s="1" t="s">
        <v>54</v>
      </c>
      <c r="N386" s="1" t="s">
        <v>578</v>
      </c>
      <c r="O386" s="1" t="s">
        <v>266</v>
      </c>
      <c r="P386">
        <v>22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1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 t="s">
        <v>98</v>
      </c>
      <c r="AH386" s="1" t="str">
        <f t="shared" ref="AH386:AH449" si="6">IF(VALUE(AJ386) &gt;= 114, "Sr", "Jr")</f>
        <v>Jr</v>
      </c>
      <c r="AI386" t="s">
        <v>72</v>
      </c>
      <c r="AJ386" s="4">
        <v>100</v>
      </c>
      <c r="AK386" s="1">
        <f>Table1[[#This Row],[avg_salary]]*1000</f>
        <v>100000</v>
      </c>
    </row>
    <row r="387" spans="1:37" x14ac:dyDescent="0.3">
      <c r="A387" s="1">
        <v>493</v>
      </c>
      <c r="B387" s="1" t="s">
        <v>150</v>
      </c>
      <c r="C387" s="1" t="s">
        <v>835</v>
      </c>
      <c r="D387" s="4">
        <v>61000</v>
      </c>
      <c r="E387" s="4">
        <v>109000</v>
      </c>
      <c r="F387" s="4">
        <v>85000</v>
      </c>
      <c r="G387" s="1" t="s">
        <v>1191</v>
      </c>
      <c r="H387" t="s">
        <v>1440</v>
      </c>
      <c r="I387" s="1" t="s">
        <v>1192</v>
      </c>
      <c r="J387" s="1" t="s">
        <v>780</v>
      </c>
      <c r="K387" s="1" t="s">
        <v>143</v>
      </c>
      <c r="L387" s="1" t="s">
        <v>74</v>
      </c>
      <c r="M387" s="1" t="s">
        <v>54</v>
      </c>
      <c r="N387" s="1" t="s">
        <v>579</v>
      </c>
      <c r="O387" s="1" t="s">
        <v>81</v>
      </c>
      <c r="P387">
        <v>24</v>
      </c>
      <c r="Q387" s="1">
        <v>1</v>
      </c>
      <c r="R387" s="1">
        <v>1</v>
      </c>
      <c r="S387" s="1">
        <v>1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1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 t="s">
        <v>98</v>
      </c>
      <c r="AH387" s="1" t="str">
        <f t="shared" si="6"/>
        <v>Jr</v>
      </c>
      <c r="AI387" t="s">
        <v>34</v>
      </c>
      <c r="AJ387" s="4">
        <v>85</v>
      </c>
      <c r="AK387" s="1">
        <f>Table1[[#This Row],[avg_salary]]*1000</f>
        <v>85000</v>
      </c>
    </row>
    <row r="388" spans="1:37" x14ac:dyDescent="0.3">
      <c r="A388" s="1">
        <v>494</v>
      </c>
      <c r="B388" s="1" t="s">
        <v>580</v>
      </c>
      <c r="C388" s="1" t="s">
        <v>1048</v>
      </c>
      <c r="D388" s="4">
        <v>93000</v>
      </c>
      <c r="E388" s="4">
        <v>151000</v>
      </c>
      <c r="F388" s="4">
        <v>122000</v>
      </c>
      <c r="G388" s="1" t="s">
        <v>1369</v>
      </c>
      <c r="H388" t="s">
        <v>1437</v>
      </c>
      <c r="I388" s="1" t="s">
        <v>1180</v>
      </c>
      <c r="J388" s="1" t="s">
        <v>780</v>
      </c>
      <c r="K388" s="1" t="s">
        <v>145</v>
      </c>
      <c r="L388" s="1" t="s">
        <v>74</v>
      </c>
      <c r="M388" s="1" t="s">
        <v>54</v>
      </c>
      <c r="N388" s="1" t="s">
        <v>581</v>
      </c>
      <c r="O388" s="1" t="s">
        <v>46</v>
      </c>
      <c r="P388">
        <v>30</v>
      </c>
      <c r="Q388" s="1">
        <v>1</v>
      </c>
      <c r="R388" s="1">
        <v>0</v>
      </c>
      <c r="S388" s="1">
        <v>1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 t="s">
        <v>33</v>
      </c>
      <c r="AH388" s="1" t="str">
        <f t="shared" si="6"/>
        <v>Sr</v>
      </c>
      <c r="AI388" t="s">
        <v>34</v>
      </c>
      <c r="AJ388" s="4">
        <v>122</v>
      </c>
      <c r="AK388" s="1">
        <f>Table1[[#This Row],[avg_salary]]*1000</f>
        <v>122000</v>
      </c>
    </row>
    <row r="389" spans="1:37" x14ac:dyDescent="0.3">
      <c r="A389" s="1">
        <v>495</v>
      </c>
      <c r="B389" s="1" t="s">
        <v>582</v>
      </c>
      <c r="C389" s="1" t="s">
        <v>841</v>
      </c>
      <c r="D389" s="4">
        <v>52000</v>
      </c>
      <c r="E389" s="4">
        <v>81000</v>
      </c>
      <c r="F389" s="4">
        <v>66500</v>
      </c>
      <c r="G389" s="1" t="s">
        <v>1203</v>
      </c>
      <c r="H389" t="s">
        <v>1444</v>
      </c>
      <c r="I389" s="1" t="s">
        <v>1204</v>
      </c>
      <c r="J389" s="1" t="s">
        <v>780</v>
      </c>
      <c r="K389" s="1" t="s">
        <v>103</v>
      </c>
      <c r="L389" s="1" t="s">
        <v>74</v>
      </c>
      <c r="M389" s="1" t="s">
        <v>44</v>
      </c>
      <c r="N389" s="1" t="s">
        <v>583</v>
      </c>
      <c r="O389" s="1" t="s">
        <v>120</v>
      </c>
      <c r="P389">
        <v>47</v>
      </c>
      <c r="Q389" s="1">
        <v>1</v>
      </c>
      <c r="R389" s="1">
        <v>0</v>
      </c>
      <c r="S389" s="1">
        <v>0</v>
      </c>
      <c r="T389" s="1">
        <v>0</v>
      </c>
      <c r="U389" s="1">
        <v>1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1</v>
      </c>
      <c r="AC389" s="1">
        <v>1</v>
      </c>
      <c r="AD389" s="1">
        <v>0</v>
      </c>
      <c r="AE389" s="1">
        <v>0</v>
      </c>
      <c r="AF389" s="1">
        <v>0</v>
      </c>
      <c r="AG389" s="1" t="s">
        <v>208</v>
      </c>
      <c r="AH389" s="1" t="str">
        <f t="shared" si="6"/>
        <v>Jr</v>
      </c>
      <c r="AI389" t="s">
        <v>34</v>
      </c>
      <c r="AJ389" s="4">
        <v>66.5</v>
      </c>
      <c r="AK389" s="1">
        <f>Table1[[#This Row],[avg_salary]]*1000</f>
        <v>66500</v>
      </c>
    </row>
    <row r="390" spans="1:37" x14ac:dyDescent="0.3">
      <c r="A390" s="1">
        <v>496</v>
      </c>
      <c r="B390" s="1" t="s">
        <v>584</v>
      </c>
      <c r="C390" s="1" t="s">
        <v>1049</v>
      </c>
      <c r="D390" s="4">
        <v>40000</v>
      </c>
      <c r="E390" s="4">
        <v>101000</v>
      </c>
      <c r="F390" s="4">
        <v>70500</v>
      </c>
      <c r="G390" s="1" t="s">
        <v>1344</v>
      </c>
      <c r="H390" t="s">
        <v>1452</v>
      </c>
      <c r="I390" s="1" t="s">
        <v>1237</v>
      </c>
      <c r="J390" s="1" t="s">
        <v>780</v>
      </c>
      <c r="K390" s="1" t="s">
        <v>378</v>
      </c>
      <c r="L390" s="1" t="s">
        <v>62</v>
      </c>
      <c r="M390" s="1" t="s">
        <v>54</v>
      </c>
      <c r="N390" s="1" t="s">
        <v>585</v>
      </c>
      <c r="O390" s="1" t="s">
        <v>182</v>
      </c>
      <c r="P390">
        <v>32</v>
      </c>
      <c r="Q390" s="1">
        <v>0</v>
      </c>
      <c r="R390" s="1">
        <v>1</v>
      </c>
      <c r="S390" s="1">
        <v>0</v>
      </c>
      <c r="T390" s="1">
        <v>1</v>
      </c>
      <c r="U390" s="1">
        <v>1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1</v>
      </c>
      <c r="AB390" s="1">
        <v>1</v>
      </c>
      <c r="AC390" s="1">
        <v>0</v>
      </c>
      <c r="AD390" s="1">
        <v>0</v>
      </c>
      <c r="AE390" s="1">
        <v>1</v>
      </c>
      <c r="AF390" s="1">
        <v>0</v>
      </c>
      <c r="AG390" t="s">
        <v>1473</v>
      </c>
      <c r="AH390" s="1" t="str">
        <f t="shared" si="6"/>
        <v>Jr</v>
      </c>
      <c r="AI390" t="s">
        <v>34</v>
      </c>
      <c r="AJ390" s="4">
        <v>70.5</v>
      </c>
      <c r="AK390" s="1">
        <f>Table1[[#This Row],[avg_salary]]*1000</f>
        <v>70500</v>
      </c>
    </row>
    <row r="391" spans="1:37" x14ac:dyDescent="0.3">
      <c r="A391" s="1">
        <v>497</v>
      </c>
      <c r="B391" s="1" t="s">
        <v>282</v>
      </c>
      <c r="C391" s="1" t="s">
        <v>1050</v>
      </c>
      <c r="D391" s="4">
        <v>97000</v>
      </c>
      <c r="E391" s="4">
        <v>180000</v>
      </c>
      <c r="F391" s="4">
        <v>138500</v>
      </c>
      <c r="G391" s="1" t="s">
        <v>1331</v>
      </c>
      <c r="H391" t="s">
        <v>1438</v>
      </c>
      <c r="I391" s="1" t="s">
        <v>1186</v>
      </c>
      <c r="J391" s="1" t="s">
        <v>780</v>
      </c>
      <c r="K391" s="1" t="s">
        <v>42</v>
      </c>
      <c r="L391" s="1" t="s">
        <v>43</v>
      </c>
      <c r="M391" s="1" t="s">
        <v>121</v>
      </c>
      <c r="N391" s="1" t="s">
        <v>586</v>
      </c>
      <c r="O391" s="1" t="s">
        <v>60</v>
      </c>
      <c r="P391">
        <v>42</v>
      </c>
      <c r="Q391" s="1">
        <v>1</v>
      </c>
      <c r="R391" s="1">
        <v>1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 t="s">
        <v>98</v>
      </c>
      <c r="AH391" s="1" t="str">
        <f t="shared" si="6"/>
        <v>Sr</v>
      </c>
      <c r="AI391" t="s">
        <v>34</v>
      </c>
      <c r="AJ391" s="4">
        <v>138.5</v>
      </c>
      <c r="AK391" s="1">
        <f>Table1[[#This Row],[avg_salary]]*1000</f>
        <v>138500</v>
      </c>
    </row>
    <row r="392" spans="1:37" x14ac:dyDescent="0.3">
      <c r="A392" s="1">
        <v>498</v>
      </c>
      <c r="B392" s="1" t="s">
        <v>587</v>
      </c>
      <c r="C392" s="1" t="s">
        <v>1051</v>
      </c>
      <c r="D392" s="4">
        <v>81000</v>
      </c>
      <c r="E392" s="4">
        <v>134000</v>
      </c>
      <c r="F392" s="4">
        <v>107500</v>
      </c>
      <c r="G392" s="1" t="s">
        <v>1231</v>
      </c>
      <c r="H392" t="s">
        <v>1441</v>
      </c>
      <c r="I392" s="1" t="s">
        <v>1196</v>
      </c>
      <c r="J392" s="1" t="s">
        <v>780</v>
      </c>
      <c r="K392" s="1" t="s">
        <v>64</v>
      </c>
      <c r="L392" s="1" t="s">
        <v>43</v>
      </c>
      <c r="M392" s="1" t="s">
        <v>44</v>
      </c>
      <c r="N392" s="1" t="s">
        <v>308</v>
      </c>
      <c r="O392" s="1" t="s">
        <v>91</v>
      </c>
      <c r="P392">
        <v>43</v>
      </c>
      <c r="Q392" s="1">
        <v>0</v>
      </c>
      <c r="R392" s="1">
        <v>1</v>
      </c>
      <c r="S392" s="1">
        <v>0</v>
      </c>
      <c r="T392" s="1">
        <v>1</v>
      </c>
      <c r="U392" s="1">
        <v>1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1</v>
      </c>
      <c r="AB392" s="1">
        <v>1</v>
      </c>
      <c r="AC392" s="1">
        <v>0</v>
      </c>
      <c r="AD392" s="1">
        <v>0</v>
      </c>
      <c r="AE392" s="1">
        <v>1</v>
      </c>
      <c r="AF392" s="1">
        <v>0</v>
      </c>
      <c r="AG392" s="1" t="s">
        <v>33</v>
      </c>
      <c r="AH392" s="1" t="str">
        <f t="shared" si="6"/>
        <v>Jr</v>
      </c>
      <c r="AI392" t="s">
        <v>72</v>
      </c>
      <c r="AJ392" s="4">
        <v>107.5</v>
      </c>
      <c r="AK392" s="1">
        <f>Table1[[#This Row],[avg_salary]]*1000</f>
        <v>107500</v>
      </c>
    </row>
    <row r="393" spans="1:37" x14ac:dyDescent="0.3">
      <c r="A393" s="1">
        <v>499</v>
      </c>
      <c r="B393" s="1" t="s">
        <v>588</v>
      </c>
      <c r="C393" s="1" t="s">
        <v>1052</v>
      </c>
      <c r="D393" s="4">
        <v>84000</v>
      </c>
      <c r="E393" s="4">
        <v>157000</v>
      </c>
      <c r="F393" s="4">
        <v>120500</v>
      </c>
      <c r="G393" s="1" t="s">
        <v>1195</v>
      </c>
      <c r="H393" t="s">
        <v>1441</v>
      </c>
      <c r="I393" s="1" t="s">
        <v>1196</v>
      </c>
      <c r="J393" s="1" t="s">
        <v>781</v>
      </c>
      <c r="K393" s="1" t="s">
        <v>89</v>
      </c>
      <c r="L393" s="1" t="s">
        <v>89</v>
      </c>
      <c r="M393" s="1" t="s">
        <v>30</v>
      </c>
      <c r="N393" s="1" t="s">
        <v>589</v>
      </c>
      <c r="O393" s="1" t="s">
        <v>91</v>
      </c>
      <c r="P393">
        <v>50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1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 t="s">
        <v>71</v>
      </c>
      <c r="AH393" s="1" t="str">
        <f t="shared" si="6"/>
        <v>Sr</v>
      </c>
      <c r="AI393" t="s">
        <v>34</v>
      </c>
      <c r="AJ393" s="4">
        <v>120.5</v>
      </c>
      <c r="AK393" s="1">
        <f>Table1[[#This Row],[avg_salary]]*1000</f>
        <v>120500</v>
      </c>
    </row>
    <row r="394" spans="1:37" x14ac:dyDescent="0.3">
      <c r="A394" s="1">
        <v>500</v>
      </c>
      <c r="B394" s="1" t="s">
        <v>590</v>
      </c>
      <c r="C394" s="1" t="s">
        <v>947</v>
      </c>
      <c r="D394" s="4">
        <v>49000</v>
      </c>
      <c r="E394" s="4">
        <v>113000</v>
      </c>
      <c r="F394" s="4">
        <v>81000</v>
      </c>
      <c r="G394" s="1" t="s">
        <v>1279</v>
      </c>
      <c r="H394" t="s">
        <v>1436</v>
      </c>
      <c r="I394" s="1" t="s">
        <v>1178</v>
      </c>
      <c r="J394" s="1" t="s">
        <v>780</v>
      </c>
      <c r="K394" s="1" t="s">
        <v>89</v>
      </c>
      <c r="L394" s="1" t="s">
        <v>89</v>
      </c>
      <c r="M394" s="1" t="s">
        <v>65</v>
      </c>
      <c r="N394" s="1" t="s">
        <v>419</v>
      </c>
      <c r="O394" s="1" t="s">
        <v>41</v>
      </c>
      <c r="P394">
        <v>37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 t="s">
        <v>71</v>
      </c>
      <c r="AH394" s="1" t="str">
        <f t="shared" si="6"/>
        <v>Jr</v>
      </c>
      <c r="AI394" t="s">
        <v>34</v>
      </c>
      <c r="AJ394" s="4">
        <v>81</v>
      </c>
      <c r="AK394" s="1">
        <f>Table1[[#This Row],[avg_salary]]*1000</f>
        <v>81000</v>
      </c>
    </row>
    <row r="395" spans="1:37" x14ac:dyDescent="0.3">
      <c r="A395" s="1">
        <v>501</v>
      </c>
      <c r="B395" s="1" t="s">
        <v>591</v>
      </c>
      <c r="C395" s="1" t="s">
        <v>1013</v>
      </c>
      <c r="D395" s="4">
        <v>68000</v>
      </c>
      <c r="E395" s="4">
        <v>139000</v>
      </c>
      <c r="F395" s="4">
        <v>103500</v>
      </c>
      <c r="G395" s="1" t="s">
        <v>1351</v>
      </c>
      <c r="H395" t="s">
        <v>1445</v>
      </c>
      <c r="I395" s="1" t="s">
        <v>1206</v>
      </c>
      <c r="J395" s="1" t="s">
        <v>780</v>
      </c>
      <c r="K395" s="1" t="s">
        <v>157</v>
      </c>
      <c r="L395" s="1" t="s">
        <v>158</v>
      </c>
      <c r="M395" s="1" t="s">
        <v>84</v>
      </c>
      <c r="N395" s="1" t="s">
        <v>519</v>
      </c>
      <c r="O395" s="1" t="s">
        <v>123</v>
      </c>
      <c r="P395">
        <v>48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 t="s">
        <v>71</v>
      </c>
      <c r="AH395" s="1" t="str">
        <f t="shared" si="6"/>
        <v>Jr</v>
      </c>
      <c r="AI395" t="s">
        <v>72</v>
      </c>
      <c r="AJ395" s="4">
        <v>103.5</v>
      </c>
      <c r="AK395" s="1">
        <f>Table1[[#This Row],[avg_salary]]*1000</f>
        <v>103500</v>
      </c>
    </row>
    <row r="396" spans="1:37" x14ac:dyDescent="0.3">
      <c r="A396" s="1">
        <v>502</v>
      </c>
      <c r="B396" s="1" t="s">
        <v>420</v>
      </c>
      <c r="C396" s="1" t="s">
        <v>948</v>
      </c>
      <c r="D396" s="4">
        <v>75000</v>
      </c>
      <c r="E396" s="4">
        <v>140000</v>
      </c>
      <c r="F396" s="4">
        <v>107500</v>
      </c>
      <c r="G396" s="1" t="s">
        <v>1203</v>
      </c>
      <c r="H396" t="s">
        <v>1444</v>
      </c>
      <c r="I396" s="1" t="s">
        <v>1204</v>
      </c>
      <c r="J396" s="1" t="s">
        <v>781</v>
      </c>
      <c r="K396" s="1" t="s">
        <v>421</v>
      </c>
      <c r="L396" s="1" t="s">
        <v>118</v>
      </c>
      <c r="M396" s="1" t="s">
        <v>39</v>
      </c>
      <c r="N396" s="1" t="s">
        <v>422</v>
      </c>
      <c r="O396" s="1" t="s">
        <v>120</v>
      </c>
      <c r="P396">
        <v>21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 t="s">
        <v>98</v>
      </c>
      <c r="AH396" s="1" t="str">
        <f t="shared" si="6"/>
        <v>Jr</v>
      </c>
      <c r="AI396" t="s">
        <v>72</v>
      </c>
      <c r="AJ396" s="4">
        <v>107.5</v>
      </c>
      <c r="AK396" s="1">
        <f>Table1[[#This Row],[avg_salary]]*1000</f>
        <v>107500</v>
      </c>
    </row>
    <row r="397" spans="1:37" x14ac:dyDescent="0.3">
      <c r="A397" s="1">
        <v>505</v>
      </c>
      <c r="B397" s="1" t="s">
        <v>592</v>
      </c>
      <c r="C397" s="1" t="s">
        <v>1053</v>
      </c>
      <c r="D397" s="4">
        <v>121000</v>
      </c>
      <c r="E397" s="4">
        <v>203000</v>
      </c>
      <c r="F397" s="4">
        <v>162000</v>
      </c>
      <c r="G397" s="1" t="s">
        <v>1200</v>
      </c>
      <c r="H397" t="s">
        <v>1439</v>
      </c>
      <c r="I397" s="1" t="s">
        <v>1189</v>
      </c>
      <c r="J397" s="1" t="s">
        <v>780</v>
      </c>
      <c r="K397" s="1" t="s">
        <v>73</v>
      </c>
      <c r="L397" s="1" t="s">
        <v>74</v>
      </c>
      <c r="M397" s="1" t="s">
        <v>54</v>
      </c>
      <c r="N397" s="1" t="s">
        <v>593</v>
      </c>
      <c r="O397" s="1" t="s">
        <v>67</v>
      </c>
      <c r="P397">
        <v>18</v>
      </c>
      <c r="Q397" s="1">
        <v>1</v>
      </c>
      <c r="R397" s="1">
        <v>1</v>
      </c>
      <c r="S397" s="1">
        <v>1</v>
      </c>
      <c r="T397" s="1">
        <v>1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 t="s">
        <v>98</v>
      </c>
      <c r="AH397" s="1" t="str">
        <f t="shared" si="6"/>
        <v>Sr</v>
      </c>
      <c r="AI397" t="s">
        <v>34</v>
      </c>
      <c r="AJ397" s="4">
        <v>162</v>
      </c>
      <c r="AK397" s="1">
        <f>Table1[[#This Row],[avg_salary]]*1000</f>
        <v>162000</v>
      </c>
    </row>
    <row r="398" spans="1:37" x14ac:dyDescent="0.3">
      <c r="A398" s="1">
        <v>506</v>
      </c>
      <c r="B398" s="1" t="s">
        <v>594</v>
      </c>
      <c r="C398" s="1" t="s">
        <v>1054</v>
      </c>
      <c r="D398" s="4">
        <v>52000</v>
      </c>
      <c r="E398" s="4">
        <v>85000</v>
      </c>
      <c r="F398" s="4">
        <v>68500</v>
      </c>
      <c r="G398" s="1" t="s">
        <v>1217</v>
      </c>
      <c r="H398" t="s">
        <v>1439</v>
      </c>
      <c r="I398" s="1" t="s">
        <v>1189</v>
      </c>
      <c r="J398" s="1" t="s">
        <v>780</v>
      </c>
      <c r="K398" s="1" t="s">
        <v>145</v>
      </c>
      <c r="L398" s="1" t="s">
        <v>74</v>
      </c>
      <c r="M398" s="1" t="s">
        <v>58</v>
      </c>
      <c r="N398" s="1" t="s">
        <v>146</v>
      </c>
      <c r="O398" s="1" t="s">
        <v>67</v>
      </c>
      <c r="P398">
        <v>34</v>
      </c>
      <c r="Q398" s="1">
        <v>1</v>
      </c>
      <c r="R398" s="1">
        <v>1</v>
      </c>
      <c r="S398" s="1">
        <v>0</v>
      </c>
      <c r="T398" s="1">
        <v>1</v>
      </c>
      <c r="U398" s="1">
        <v>0</v>
      </c>
      <c r="V398" s="1">
        <v>0</v>
      </c>
      <c r="W398" s="1">
        <v>0</v>
      </c>
      <c r="X398" s="1">
        <v>1</v>
      </c>
      <c r="Y398" s="1">
        <v>1</v>
      </c>
      <c r="Z398" s="1">
        <v>1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 t="s">
        <v>33</v>
      </c>
      <c r="AH398" s="1" t="str">
        <f t="shared" si="6"/>
        <v>Jr</v>
      </c>
      <c r="AI398" t="s">
        <v>34</v>
      </c>
      <c r="AJ398" s="4">
        <v>68.5</v>
      </c>
      <c r="AK398" s="1">
        <f>Table1[[#This Row],[avg_salary]]*1000</f>
        <v>68500</v>
      </c>
    </row>
    <row r="399" spans="1:37" x14ac:dyDescent="0.3">
      <c r="A399" s="1">
        <v>507</v>
      </c>
      <c r="B399" s="1" t="s">
        <v>595</v>
      </c>
      <c r="C399" s="1" t="s">
        <v>1055</v>
      </c>
      <c r="D399" s="4">
        <v>81000</v>
      </c>
      <c r="E399" s="4">
        <v>140000</v>
      </c>
      <c r="F399" s="4">
        <v>110500</v>
      </c>
      <c r="G399" s="1" t="s">
        <v>1370</v>
      </c>
      <c r="H399" t="s">
        <v>1450</v>
      </c>
      <c r="I399" s="1" t="s">
        <v>1228</v>
      </c>
      <c r="J399" s="1" t="s">
        <v>781</v>
      </c>
      <c r="K399" s="1" t="s">
        <v>108</v>
      </c>
      <c r="L399" s="1" t="s">
        <v>109</v>
      </c>
      <c r="M399" s="1" t="s">
        <v>130</v>
      </c>
      <c r="N399" s="1" t="s">
        <v>596</v>
      </c>
      <c r="O399" s="1" t="s">
        <v>168</v>
      </c>
      <c r="P399">
        <v>46</v>
      </c>
      <c r="Q399" s="1">
        <v>0</v>
      </c>
      <c r="R399" s="1">
        <v>0</v>
      </c>
      <c r="S399" s="1">
        <v>0</v>
      </c>
      <c r="T399" s="1">
        <v>1</v>
      </c>
      <c r="U399" s="1">
        <v>1</v>
      </c>
      <c r="V399" s="1">
        <v>0</v>
      </c>
      <c r="W399" s="1">
        <v>0</v>
      </c>
      <c r="X399" s="1">
        <v>1</v>
      </c>
      <c r="Y399" s="1">
        <v>0</v>
      </c>
      <c r="Z399" s="1">
        <v>1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 t="s">
        <v>33</v>
      </c>
      <c r="AH399" s="1" t="str">
        <f t="shared" si="6"/>
        <v>Jr</v>
      </c>
      <c r="AI399" t="s">
        <v>72</v>
      </c>
      <c r="AJ399" s="4">
        <v>110.5</v>
      </c>
      <c r="AK399" s="1">
        <f>Table1[[#This Row],[avg_salary]]*1000</f>
        <v>110500</v>
      </c>
    </row>
    <row r="400" spans="1:37" x14ac:dyDescent="0.3">
      <c r="A400" s="1">
        <v>508</v>
      </c>
      <c r="B400" s="1" t="s">
        <v>169</v>
      </c>
      <c r="C400" s="1" t="s">
        <v>824</v>
      </c>
      <c r="D400" s="4">
        <v>63000</v>
      </c>
      <c r="E400" s="4">
        <v>99000</v>
      </c>
      <c r="F400" s="4">
        <v>81000</v>
      </c>
      <c r="G400" s="1" t="s">
        <v>1229</v>
      </c>
      <c r="H400" t="s">
        <v>1444</v>
      </c>
      <c r="I400" s="1" t="s">
        <v>1204</v>
      </c>
      <c r="J400" s="1" t="s">
        <v>781</v>
      </c>
      <c r="K400" s="1" t="s">
        <v>170</v>
      </c>
      <c r="L400" s="1" t="s">
        <v>158</v>
      </c>
      <c r="M400" s="1" t="s">
        <v>84</v>
      </c>
      <c r="N400" s="1" t="s">
        <v>171</v>
      </c>
      <c r="O400" s="1" t="s">
        <v>120</v>
      </c>
      <c r="P400">
        <v>53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 t="s">
        <v>33</v>
      </c>
      <c r="AH400" s="1" t="str">
        <f t="shared" si="6"/>
        <v>Jr</v>
      </c>
      <c r="AI400" t="s">
        <v>34</v>
      </c>
      <c r="AJ400" s="4">
        <v>81</v>
      </c>
      <c r="AK400" s="1">
        <f>Table1[[#This Row],[avg_salary]]*1000</f>
        <v>81000</v>
      </c>
    </row>
    <row r="401" spans="1:37" x14ac:dyDescent="0.3">
      <c r="A401" s="1">
        <v>509</v>
      </c>
      <c r="B401" s="1" t="s">
        <v>148</v>
      </c>
      <c r="C401" s="1" t="s">
        <v>1408</v>
      </c>
      <c r="D401" s="4">
        <v>110000</v>
      </c>
      <c r="E401" s="4">
        <v>150000</v>
      </c>
      <c r="F401" s="4">
        <v>130000</v>
      </c>
      <c r="G401" s="1" t="s">
        <v>1203</v>
      </c>
      <c r="H401" t="s">
        <v>1444</v>
      </c>
      <c r="I401" s="1" t="s">
        <v>1204</v>
      </c>
      <c r="J401" s="1" t="s">
        <v>781</v>
      </c>
      <c r="K401" s="1" t="s">
        <v>57</v>
      </c>
      <c r="L401" s="1" t="s">
        <v>57</v>
      </c>
      <c r="M401" s="1" t="s">
        <v>39</v>
      </c>
      <c r="N401" s="1" t="s">
        <v>160</v>
      </c>
      <c r="O401" s="1" t="s">
        <v>120</v>
      </c>
      <c r="P401">
        <v>31</v>
      </c>
      <c r="Q401" s="1">
        <v>1</v>
      </c>
      <c r="R401" s="1">
        <v>1</v>
      </c>
      <c r="S401" s="1">
        <v>0</v>
      </c>
      <c r="T401" s="1">
        <v>1</v>
      </c>
      <c r="U401" s="1">
        <v>1</v>
      </c>
      <c r="V401" s="1">
        <v>0</v>
      </c>
      <c r="W401" s="1">
        <v>0</v>
      </c>
      <c r="X401" s="1">
        <v>0</v>
      </c>
      <c r="Y401" s="1">
        <v>1</v>
      </c>
      <c r="Z401" s="1">
        <v>0</v>
      </c>
      <c r="AA401" s="1">
        <v>1</v>
      </c>
      <c r="AB401" s="1">
        <v>1</v>
      </c>
      <c r="AC401" s="1">
        <v>1</v>
      </c>
      <c r="AD401" s="1">
        <v>0</v>
      </c>
      <c r="AE401" s="1">
        <v>0</v>
      </c>
      <c r="AF401" s="1">
        <v>0</v>
      </c>
      <c r="AG401" s="1" t="s">
        <v>33</v>
      </c>
      <c r="AH401" s="1" t="str">
        <f t="shared" si="6"/>
        <v>Sr</v>
      </c>
      <c r="AI401" t="s">
        <v>34</v>
      </c>
      <c r="AJ401" s="4">
        <v>130</v>
      </c>
      <c r="AK401" s="1">
        <f>Table1[[#This Row],[avg_salary]]*1000</f>
        <v>130000</v>
      </c>
    </row>
    <row r="402" spans="1:37" x14ac:dyDescent="0.3">
      <c r="A402" s="1">
        <v>510</v>
      </c>
      <c r="B402" s="1" t="s">
        <v>597</v>
      </c>
      <c r="C402" s="1" t="s">
        <v>1056</v>
      </c>
      <c r="D402" s="4">
        <v>83000</v>
      </c>
      <c r="E402" s="4">
        <v>148000</v>
      </c>
      <c r="F402" s="4">
        <v>115500</v>
      </c>
      <c r="G402" s="1" t="s">
        <v>1371</v>
      </c>
      <c r="H402" t="s">
        <v>1467</v>
      </c>
      <c r="I402" s="1" t="s">
        <v>1341</v>
      </c>
      <c r="J402" s="1" t="s">
        <v>93</v>
      </c>
      <c r="K402" s="1" t="s">
        <v>108</v>
      </c>
      <c r="L402" s="1" t="s">
        <v>109</v>
      </c>
      <c r="M402" s="1" t="s">
        <v>44</v>
      </c>
      <c r="N402" s="1" t="s">
        <v>598</v>
      </c>
      <c r="O402" s="1" t="s">
        <v>473</v>
      </c>
      <c r="P402">
        <v>42</v>
      </c>
      <c r="Q402" s="1">
        <v>1</v>
      </c>
      <c r="R402" s="1">
        <v>0</v>
      </c>
      <c r="S402" s="1">
        <v>0</v>
      </c>
      <c r="T402" s="1">
        <v>1</v>
      </c>
      <c r="U402" s="1">
        <v>1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1</v>
      </c>
      <c r="AC402" s="1">
        <v>0</v>
      </c>
      <c r="AD402" s="1">
        <v>0</v>
      </c>
      <c r="AE402" s="1">
        <v>0</v>
      </c>
      <c r="AF402" s="1">
        <v>0</v>
      </c>
      <c r="AG402" s="1" t="s">
        <v>98</v>
      </c>
      <c r="AH402" s="1" t="str">
        <f t="shared" si="6"/>
        <v>Sr</v>
      </c>
      <c r="AI402" t="s">
        <v>34</v>
      </c>
      <c r="AJ402" s="4">
        <v>115.5</v>
      </c>
      <c r="AK402" s="1">
        <f>Table1[[#This Row],[avg_salary]]*1000</f>
        <v>115500</v>
      </c>
    </row>
    <row r="403" spans="1:37" x14ac:dyDescent="0.3">
      <c r="A403" s="1">
        <v>512</v>
      </c>
      <c r="B403" s="1" t="s">
        <v>599</v>
      </c>
      <c r="C403" s="1" t="s">
        <v>878</v>
      </c>
      <c r="D403" s="4">
        <v>60000</v>
      </c>
      <c r="E403" s="4">
        <v>101000</v>
      </c>
      <c r="F403" s="4">
        <v>80500</v>
      </c>
      <c r="G403" s="1" t="s">
        <v>1181</v>
      </c>
      <c r="H403" t="s">
        <v>1223</v>
      </c>
      <c r="I403" s="1" t="s">
        <v>1182</v>
      </c>
      <c r="J403" s="1" t="s">
        <v>47</v>
      </c>
      <c r="K403" s="1" t="s">
        <v>48</v>
      </c>
      <c r="L403" s="1" t="s">
        <v>49</v>
      </c>
      <c r="M403" s="1" t="s">
        <v>50</v>
      </c>
      <c r="N403" s="1" t="s">
        <v>51</v>
      </c>
      <c r="O403" s="1" t="s">
        <v>52</v>
      </c>
      <c r="P403">
        <v>50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1</v>
      </c>
      <c r="Y403" s="1">
        <v>0</v>
      </c>
      <c r="Z403" s="1">
        <v>1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 t="s">
        <v>33</v>
      </c>
      <c r="AH403" s="1" t="str">
        <f t="shared" si="6"/>
        <v>Jr</v>
      </c>
      <c r="AI403" t="s">
        <v>34</v>
      </c>
      <c r="AJ403" s="4">
        <v>80.5</v>
      </c>
      <c r="AK403" s="1">
        <f>Table1[[#This Row],[avg_salary]]*1000</f>
        <v>80500</v>
      </c>
    </row>
    <row r="404" spans="1:37" x14ac:dyDescent="0.3">
      <c r="A404" s="1">
        <v>516</v>
      </c>
      <c r="B404" s="1" t="s">
        <v>600</v>
      </c>
      <c r="C404" s="1" t="s">
        <v>1057</v>
      </c>
      <c r="D404" s="4">
        <v>31000</v>
      </c>
      <c r="E404" s="4">
        <v>55000</v>
      </c>
      <c r="F404" s="4">
        <v>43000</v>
      </c>
      <c r="G404" s="1" t="s">
        <v>1372</v>
      </c>
      <c r="H404" t="s">
        <v>1467</v>
      </c>
      <c r="I404" s="1" t="s">
        <v>1341</v>
      </c>
      <c r="J404" s="1" t="s">
        <v>780</v>
      </c>
      <c r="K404" s="1" t="s">
        <v>378</v>
      </c>
      <c r="L404" s="1" t="s">
        <v>62</v>
      </c>
      <c r="M404" s="1" t="s">
        <v>44</v>
      </c>
      <c r="N404" s="1" t="s">
        <v>601</v>
      </c>
      <c r="O404" s="1" t="s">
        <v>473</v>
      </c>
      <c r="P404">
        <v>46</v>
      </c>
      <c r="Q404" s="1">
        <v>0</v>
      </c>
      <c r="R404" s="1">
        <v>0</v>
      </c>
      <c r="S404" s="1">
        <v>0</v>
      </c>
      <c r="T404" s="1">
        <v>1</v>
      </c>
      <c r="U404" s="1">
        <v>1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 t="s">
        <v>88</v>
      </c>
      <c r="AH404" s="1" t="str">
        <f t="shared" si="6"/>
        <v>Jr</v>
      </c>
      <c r="AI404" t="s">
        <v>34</v>
      </c>
      <c r="AJ404" s="4">
        <v>43</v>
      </c>
      <c r="AK404" s="1">
        <f>Table1[[#This Row],[avg_salary]]*1000</f>
        <v>43000</v>
      </c>
    </row>
    <row r="405" spans="1:37" x14ac:dyDescent="0.3">
      <c r="A405" s="1">
        <v>517</v>
      </c>
      <c r="B405" s="1" t="s">
        <v>602</v>
      </c>
      <c r="C405" s="1" t="s">
        <v>1058</v>
      </c>
      <c r="D405" s="4">
        <v>102000</v>
      </c>
      <c r="E405" s="4">
        <v>178000</v>
      </c>
      <c r="F405" s="4">
        <v>140000</v>
      </c>
      <c r="G405" s="1" t="s">
        <v>1195</v>
      </c>
      <c r="H405" t="s">
        <v>1441</v>
      </c>
      <c r="I405" s="1" t="s">
        <v>1196</v>
      </c>
      <c r="J405" s="1" t="s">
        <v>781</v>
      </c>
      <c r="K405" s="1" t="s">
        <v>89</v>
      </c>
      <c r="L405" s="1" t="s">
        <v>89</v>
      </c>
      <c r="M405" s="1" t="s">
        <v>54</v>
      </c>
      <c r="N405" s="1" t="s">
        <v>603</v>
      </c>
      <c r="O405" s="1" t="s">
        <v>91</v>
      </c>
      <c r="P405">
        <v>25</v>
      </c>
      <c r="Q405" s="1">
        <v>0</v>
      </c>
      <c r="R405" s="1">
        <v>0</v>
      </c>
      <c r="S405" s="1">
        <v>0</v>
      </c>
      <c r="T405" s="1">
        <v>1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 t="s">
        <v>516</v>
      </c>
      <c r="AH405" s="1" t="str">
        <f t="shared" si="6"/>
        <v>Sr</v>
      </c>
      <c r="AI405" t="s">
        <v>72</v>
      </c>
      <c r="AJ405" s="4">
        <v>140</v>
      </c>
      <c r="AK405" s="1">
        <f>Table1[[#This Row],[avg_salary]]*1000</f>
        <v>140000</v>
      </c>
    </row>
    <row r="406" spans="1:37" x14ac:dyDescent="0.3">
      <c r="A406" s="1">
        <v>518</v>
      </c>
      <c r="B406" s="1" t="s">
        <v>604</v>
      </c>
      <c r="C406" s="1" t="s">
        <v>1421</v>
      </c>
      <c r="D406" s="4">
        <v>110000</v>
      </c>
      <c r="E406" s="4">
        <v>130000</v>
      </c>
      <c r="F406" s="4">
        <v>120000</v>
      </c>
      <c r="G406" s="1" t="s">
        <v>1195</v>
      </c>
      <c r="H406" t="s">
        <v>1441</v>
      </c>
      <c r="I406" s="1" t="s">
        <v>1196</v>
      </c>
      <c r="J406" s="1" t="s">
        <v>780</v>
      </c>
      <c r="K406" s="1" t="s">
        <v>89</v>
      </c>
      <c r="L406" s="1" t="s">
        <v>74</v>
      </c>
      <c r="M406" s="1" t="s">
        <v>54</v>
      </c>
      <c r="N406" s="1" t="s">
        <v>563</v>
      </c>
      <c r="O406" s="1" t="s">
        <v>91</v>
      </c>
      <c r="P406">
        <v>36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 t="s">
        <v>71</v>
      </c>
      <c r="AH406" s="1" t="str">
        <f t="shared" si="6"/>
        <v>Sr</v>
      </c>
      <c r="AI406" t="s">
        <v>72</v>
      </c>
      <c r="AJ406" s="4">
        <v>120</v>
      </c>
      <c r="AK406" s="1">
        <f>Table1[[#This Row],[avg_salary]]*1000</f>
        <v>120000</v>
      </c>
    </row>
    <row r="407" spans="1:37" x14ac:dyDescent="0.3">
      <c r="A407" s="1">
        <v>519</v>
      </c>
      <c r="B407" s="1" t="s">
        <v>605</v>
      </c>
      <c r="C407" s="1" t="s">
        <v>1059</v>
      </c>
      <c r="D407" s="4">
        <v>48000</v>
      </c>
      <c r="E407" s="4">
        <v>85000</v>
      </c>
      <c r="F407" s="4">
        <v>66500</v>
      </c>
      <c r="G407" s="1" t="s">
        <v>1245</v>
      </c>
      <c r="H407" t="s">
        <v>1453</v>
      </c>
      <c r="I407" s="1" t="s">
        <v>1241</v>
      </c>
      <c r="J407" s="1" t="s">
        <v>780</v>
      </c>
      <c r="K407" s="1" t="s">
        <v>108</v>
      </c>
      <c r="L407" s="1" t="s">
        <v>109</v>
      </c>
      <c r="M407" s="1" t="s">
        <v>130</v>
      </c>
      <c r="N407" s="1" t="s">
        <v>606</v>
      </c>
      <c r="O407" s="1" t="s">
        <v>194</v>
      </c>
      <c r="P407">
        <v>28</v>
      </c>
      <c r="Q407" s="1">
        <v>0</v>
      </c>
      <c r="R407" s="1">
        <v>0</v>
      </c>
      <c r="S407" s="1">
        <v>0</v>
      </c>
      <c r="T407" s="1">
        <v>1</v>
      </c>
      <c r="U407" s="1">
        <v>1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0</v>
      </c>
      <c r="AD407" s="1">
        <v>0</v>
      </c>
      <c r="AE407" s="1">
        <v>0</v>
      </c>
      <c r="AF407" s="1">
        <v>0</v>
      </c>
      <c r="AG407" s="1" t="s">
        <v>88</v>
      </c>
      <c r="AH407" s="1" t="str">
        <f t="shared" si="6"/>
        <v>Jr</v>
      </c>
      <c r="AI407" t="s">
        <v>34</v>
      </c>
      <c r="AJ407" s="4">
        <v>66.5</v>
      </c>
      <c r="AK407" s="1">
        <f>Table1[[#This Row],[avg_salary]]*1000</f>
        <v>66500</v>
      </c>
    </row>
    <row r="408" spans="1:37" x14ac:dyDescent="0.3">
      <c r="A408" s="1">
        <v>520</v>
      </c>
      <c r="B408" s="1" t="s">
        <v>607</v>
      </c>
      <c r="C408" s="1" t="s">
        <v>1060</v>
      </c>
      <c r="D408" s="4">
        <v>66000</v>
      </c>
      <c r="E408" s="4">
        <v>123000</v>
      </c>
      <c r="F408" s="4">
        <v>94500</v>
      </c>
      <c r="G408" s="1" t="s">
        <v>1200</v>
      </c>
      <c r="H408" t="s">
        <v>1439</v>
      </c>
      <c r="I408" s="1" t="s">
        <v>1189</v>
      </c>
      <c r="J408" s="1" t="s">
        <v>780</v>
      </c>
      <c r="K408" s="1" t="s">
        <v>200</v>
      </c>
      <c r="L408" s="1" t="s">
        <v>43</v>
      </c>
      <c r="M408" s="1" t="s">
        <v>100</v>
      </c>
      <c r="N408" s="1" t="s">
        <v>608</v>
      </c>
      <c r="O408" s="1" t="s">
        <v>67</v>
      </c>
      <c r="P408">
        <v>50</v>
      </c>
      <c r="Q408" s="1">
        <v>1</v>
      </c>
      <c r="R408" s="1">
        <v>0</v>
      </c>
      <c r="S408" s="1">
        <v>1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 t="s">
        <v>98</v>
      </c>
      <c r="AH408" s="1" t="str">
        <f t="shared" si="6"/>
        <v>Jr</v>
      </c>
      <c r="AI408" t="s">
        <v>72</v>
      </c>
      <c r="AJ408" s="4">
        <v>94.5</v>
      </c>
      <c r="AK408" s="1">
        <f>Table1[[#This Row],[avg_salary]]*1000</f>
        <v>94500</v>
      </c>
    </row>
    <row r="409" spans="1:37" x14ac:dyDescent="0.3">
      <c r="A409" s="1">
        <v>521</v>
      </c>
      <c r="B409" s="1" t="s">
        <v>609</v>
      </c>
      <c r="C409" s="1" t="s">
        <v>1061</v>
      </c>
      <c r="D409" s="4">
        <v>92000</v>
      </c>
      <c r="E409" s="4">
        <v>146000</v>
      </c>
      <c r="F409" s="4">
        <v>119000</v>
      </c>
      <c r="G409" s="1" t="s">
        <v>1194</v>
      </c>
      <c r="H409" t="s">
        <v>1223</v>
      </c>
      <c r="I409" s="1" t="s">
        <v>1182</v>
      </c>
      <c r="J409" s="1" t="s">
        <v>47</v>
      </c>
      <c r="K409" s="1" t="s">
        <v>48</v>
      </c>
      <c r="L409" s="1" t="s">
        <v>49</v>
      </c>
      <c r="M409" s="1" t="s">
        <v>50</v>
      </c>
      <c r="N409" s="1" t="s">
        <v>51</v>
      </c>
      <c r="O409" s="1" t="s">
        <v>52</v>
      </c>
      <c r="P409">
        <v>53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1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 t="s">
        <v>33</v>
      </c>
      <c r="AH409" s="1" t="str">
        <f t="shared" si="6"/>
        <v>Sr</v>
      </c>
      <c r="AI409" t="s">
        <v>34</v>
      </c>
      <c r="AJ409" s="4">
        <v>119</v>
      </c>
      <c r="AK409" s="1">
        <f>Table1[[#This Row],[avg_salary]]*1000</f>
        <v>119000</v>
      </c>
    </row>
    <row r="410" spans="1:37" x14ac:dyDescent="0.3">
      <c r="A410" s="1">
        <v>522</v>
      </c>
      <c r="B410" s="1" t="s">
        <v>610</v>
      </c>
      <c r="C410" s="1" t="s">
        <v>1432</v>
      </c>
      <c r="D410" s="4">
        <v>43000</v>
      </c>
      <c r="E410" s="4">
        <v>60000</v>
      </c>
      <c r="F410" s="4">
        <v>51500</v>
      </c>
      <c r="G410" s="1" t="s">
        <v>1276</v>
      </c>
      <c r="H410" t="s">
        <v>1460</v>
      </c>
      <c r="I410" s="1" t="s">
        <v>1277</v>
      </c>
      <c r="J410" s="1" t="s">
        <v>107</v>
      </c>
      <c r="K410" s="1" t="s">
        <v>37</v>
      </c>
      <c r="L410" s="1" t="s">
        <v>38</v>
      </c>
      <c r="M410" s="1" t="s">
        <v>84</v>
      </c>
      <c r="N410" s="1" t="s">
        <v>611</v>
      </c>
      <c r="O410" s="1" t="s">
        <v>268</v>
      </c>
      <c r="P410">
        <v>24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 t="s">
        <v>71</v>
      </c>
      <c r="AH410" s="1" t="str">
        <f t="shared" si="6"/>
        <v>Jr</v>
      </c>
      <c r="AI410" t="s">
        <v>34</v>
      </c>
      <c r="AJ410" s="4">
        <v>51.5</v>
      </c>
      <c r="AK410" s="1">
        <f>Table1[[#This Row],[avg_salary]]*1000</f>
        <v>51500</v>
      </c>
    </row>
    <row r="411" spans="1:37" x14ac:dyDescent="0.3">
      <c r="A411" s="1">
        <v>523</v>
      </c>
      <c r="B411" s="1" t="s">
        <v>612</v>
      </c>
      <c r="C411" s="2" t="s">
        <v>1431</v>
      </c>
      <c r="D411" s="4">
        <v>20000</v>
      </c>
      <c r="E411" s="4">
        <v>35000</v>
      </c>
      <c r="F411" s="4">
        <v>27500</v>
      </c>
      <c r="G411" s="1" t="s">
        <v>1328</v>
      </c>
      <c r="H411" t="s">
        <v>1463</v>
      </c>
      <c r="I411" s="1" t="s">
        <v>1295</v>
      </c>
      <c r="J411" s="1" t="s">
        <v>781</v>
      </c>
      <c r="K411" s="1" t="s">
        <v>188</v>
      </c>
      <c r="L411" s="1" t="s">
        <v>62</v>
      </c>
      <c r="M411" s="1" t="s">
        <v>39</v>
      </c>
      <c r="N411" s="1" t="s">
        <v>613</v>
      </c>
      <c r="O411" s="1" t="s">
        <v>331</v>
      </c>
      <c r="P411">
        <v>41</v>
      </c>
      <c r="Q411" s="1">
        <v>0</v>
      </c>
      <c r="R411" s="1">
        <v>0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 t="s">
        <v>88</v>
      </c>
      <c r="AH411" s="1" t="str">
        <f t="shared" si="6"/>
        <v>Jr</v>
      </c>
      <c r="AI411" t="s">
        <v>34</v>
      </c>
      <c r="AJ411" s="4">
        <v>27.5</v>
      </c>
      <c r="AK411" s="1">
        <f>Table1[[#This Row],[avg_salary]]*1000</f>
        <v>27500</v>
      </c>
    </row>
    <row r="412" spans="1:37" x14ac:dyDescent="0.3">
      <c r="A412" s="1">
        <v>524</v>
      </c>
      <c r="B412" s="1" t="s">
        <v>614</v>
      </c>
      <c r="C412" s="1" t="s">
        <v>1062</v>
      </c>
      <c r="D412" s="4">
        <v>150000</v>
      </c>
      <c r="E412" s="4">
        <v>239000</v>
      </c>
      <c r="F412" s="4">
        <v>194500</v>
      </c>
      <c r="G412" s="1" t="s">
        <v>1203</v>
      </c>
      <c r="H412" t="s">
        <v>1444</v>
      </c>
      <c r="I412" s="1" t="s">
        <v>1204</v>
      </c>
      <c r="J412" s="1" t="s">
        <v>780</v>
      </c>
      <c r="K412" s="1" t="s">
        <v>108</v>
      </c>
      <c r="L412" s="1" t="s">
        <v>109</v>
      </c>
      <c r="M412" s="1" t="s">
        <v>84</v>
      </c>
      <c r="N412" s="1" t="s">
        <v>174</v>
      </c>
      <c r="O412" s="1" t="s">
        <v>120</v>
      </c>
      <c r="P412">
        <v>24</v>
      </c>
      <c r="Q412" s="1">
        <v>1</v>
      </c>
      <c r="R412" s="1">
        <v>0</v>
      </c>
      <c r="S412" s="1">
        <v>0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 t="s">
        <v>33</v>
      </c>
      <c r="AH412" s="1" t="str">
        <f t="shared" si="6"/>
        <v>Sr</v>
      </c>
      <c r="AI412" t="s">
        <v>72</v>
      </c>
      <c r="AJ412" s="4">
        <v>194.5</v>
      </c>
      <c r="AK412" s="1">
        <f>Table1[[#This Row],[avg_salary]]*1000</f>
        <v>194500</v>
      </c>
    </row>
    <row r="413" spans="1:37" x14ac:dyDescent="0.3">
      <c r="A413" s="1">
        <v>525</v>
      </c>
      <c r="B413" s="1" t="s">
        <v>615</v>
      </c>
      <c r="C413" s="1" t="s">
        <v>1063</v>
      </c>
      <c r="D413" s="4">
        <v>52000</v>
      </c>
      <c r="E413" s="4">
        <v>91000</v>
      </c>
      <c r="F413" s="4">
        <v>71500</v>
      </c>
      <c r="G413" s="1" t="s">
        <v>1346</v>
      </c>
      <c r="H413" t="s">
        <v>1438</v>
      </c>
      <c r="I413" s="1" t="s">
        <v>1186</v>
      </c>
      <c r="J413" s="1" t="s">
        <v>107</v>
      </c>
      <c r="K413" s="1" t="s">
        <v>79</v>
      </c>
      <c r="L413" s="1" t="s">
        <v>43</v>
      </c>
      <c r="M413" s="1" t="s">
        <v>50</v>
      </c>
      <c r="N413" s="1" t="s">
        <v>495</v>
      </c>
      <c r="O413" s="1" t="s">
        <v>60</v>
      </c>
      <c r="P413">
        <v>46</v>
      </c>
      <c r="Q413" s="1">
        <v>1</v>
      </c>
      <c r="R413" s="1">
        <v>0</v>
      </c>
      <c r="S413" s="1">
        <v>1</v>
      </c>
      <c r="T413" s="1">
        <v>1</v>
      </c>
      <c r="U413" s="1">
        <v>1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 t="s">
        <v>71</v>
      </c>
      <c r="AH413" s="1" t="str">
        <f t="shared" si="6"/>
        <v>Jr</v>
      </c>
      <c r="AI413" t="s">
        <v>34</v>
      </c>
      <c r="AJ413" s="4">
        <v>71.5</v>
      </c>
      <c r="AK413" s="1">
        <f>Table1[[#This Row],[avg_salary]]*1000</f>
        <v>71500</v>
      </c>
    </row>
    <row r="414" spans="1:37" x14ac:dyDescent="0.3">
      <c r="A414" s="1">
        <v>526</v>
      </c>
      <c r="B414" s="1" t="s">
        <v>616</v>
      </c>
      <c r="C414" s="1" t="s">
        <v>1414</v>
      </c>
      <c r="D414" s="4">
        <v>82000</v>
      </c>
      <c r="E414" s="4">
        <v>129000</v>
      </c>
      <c r="F414" s="4">
        <v>105500</v>
      </c>
      <c r="G414" s="1" t="s">
        <v>1331</v>
      </c>
      <c r="H414" t="s">
        <v>1438</v>
      </c>
      <c r="I414" s="1" t="s">
        <v>1186</v>
      </c>
      <c r="J414" s="1" t="s">
        <v>322</v>
      </c>
      <c r="K414" s="1" t="s">
        <v>323</v>
      </c>
      <c r="L414" s="1" t="s">
        <v>255</v>
      </c>
      <c r="M414" s="1" t="s">
        <v>54</v>
      </c>
      <c r="N414" s="1" t="s">
        <v>617</v>
      </c>
      <c r="O414" s="1" t="s">
        <v>60</v>
      </c>
      <c r="P414">
        <v>44</v>
      </c>
      <c r="Q414" s="1">
        <v>1</v>
      </c>
      <c r="R414" s="1">
        <v>0</v>
      </c>
      <c r="S414" s="1">
        <v>1</v>
      </c>
      <c r="T414" s="1">
        <v>0</v>
      </c>
      <c r="U414" s="1">
        <v>0</v>
      </c>
      <c r="V414" s="1">
        <v>0</v>
      </c>
      <c r="W414" s="1">
        <v>1</v>
      </c>
      <c r="X414" s="1">
        <v>1</v>
      </c>
      <c r="Y414" s="1">
        <v>1</v>
      </c>
      <c r="Z414" s="1">
        <v>1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 t="s">
        <v>33</v>
      </c>
      <c r="AH414" s="1" t="str">
        <f t="shared" si="6"/>
        <v>Jr</v>
      </c>
      <c r="AI414" t="s">
        <v>72</v>
      </c>
      <c r="AJ414" s="4">
        <v>105.5</v>
      </c>
      <c r="AK414" s="1">
        <f>Table1[[#This Row],[avg_salary]]*1000</f>
        <v>105500</v>
      </c>
    </row>
    <row r="415" spans="1:37" x14ac:dyDescent="0.3">
      <c r="A415" s="1">
        <v>528</v>
      </c>
      <c r="B415" s="1" t="s">
        <v>618</v>
      </c>
      <c r="C415" s="1" t="s">
        <v>1064</v>
      </c>
      <c r="D415" s="4">
        <v>47000</v>
      </c>
      <c r="E415" s="4">
        <v>101000</v>
      </c>
      <c r="F415" s="4">
        <v>74000</v>
      </c>
      <c r="G415" s="1" t="s">
        <v>1359</v>
      </c>
      <c r="H415" t="s">
        <v>1458</v>
      </c>
      <c r="I415" s="1" t="s">
        <v>1271</v>
      </c>
      <c r="J415" s="1" t="s">
        <v>780</v>
      </c>
      <c r="K415" s="1" t="s">
        <v>157</v>
      </c>
      <c r="L415" s="1" t="s">
        <v>158</v>
      </c>
      <c r="M415" s="1" t="s">
        <v>84</v>
      </c>
      <c r="N415" s="1" t="s">
        <v>519</v>
      </c>
      <c r="O415" s="1" t="s">
        <v>259</v>
      </c>
      <c r="P415">
        <v>28</v>
      </c>
      <c r="Q415" s="1">
        <v>0</v>
      </c>
      <c r="R415" s="1">
        <v>0</v>
      </c>
      <c r="S415" s="1">
        <v>0</v>
      </c>
      <c r="T415" s="1">
        <v>1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 t="s">
        <v>71</v>
      </c>
      <c r="AH415" s="1" t="str">
        <f t="shared" si="6"/>
        <v>Jr</v>
      </c>
      <c r="AI415" t="s">
        <v>34</v>
      </c>
      <c r="AJ415" s="4">
        <v>74</v>
      </c>
      <c r="AK415" s="1">
        <f>Table1[[#This Row],[avg_salary]]*1000</f>
        <v>74000</v>
      </c>
    </row>
    <row r="416" spans="1:37" x14ac:dyDescent="0.3">
      <c r="A416" s="1">
        <v>530</v>
      </c>
      <c r="B416" s="1" t="s">
        <v>619</v>
      </c>
      <c r="C416" s="1" t="s">
        <v>1065</v>
      </c>
      <c r="D416" s="4">
        <v>49000</v>
      </c>
      <c r="E416" s="4">
        <v>76000</v>
      </c>
      <c r="F416" s="4">
        <v>62500</v>
      </c>
      <c r="G416" s="1" t="s">
        <v>1232</v>
      </c>
      <c r="H416" t="s">
        <v>1451</v>
      </c>
      <c r="I416" s="1" t="s">
        <v>1233</v>
      </c>
      <c r="J416" s="1" t="s">
        <v>781</v>
      </c>
      <c r="K416" s="1" t="s">
        <v>29</v>
      </c>
      <c r="L416" s="1" t="s">
        <v>29</v>
      </c>
      <c r="M416" s="1" t="s">
        <v>84</v>
      </c>
      <c r="N416" s="1" t="s">
        <v>620</v>
      </c>
      <c r="O416" s="1" t="s">
        <v>177</v>
      </c>
      <c r="P416">
        <v>40</v>
      </c>
      <c r="Q416" s="1">
        <v>0</v>
      </c>
      <c r="R416" s="1">
        <v>0</v>
      </c>
      <c r="S416" s="1">
        <v>0</v>
      </c>
      <c r="T416" s="1">
        <v>1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 t="s">
        <v>88</v>
      </c>
      <c r="AH416" s="1" t="str">
        <f t="shared" si="6"/>
        <v>Jr</v>
      </c>
      <c r="AI416" t="s">
        <v>34</v>
      </c>
      <c r="AJ416" s="4">
        <v>62.5</v>
      </c>
      <c r="AK416" s="1">
        <f>Table1[[#This Row],[avg_salary]]*1000</f>
        <v>62500</v>
      </c>
    </row>
    <row r="417" spans="1:37" x14ac:dyDescent="0.3">
      <c r="A417" s="1">
        <v>532</v>
      </c>
      <c r="B417" s="1" t="s">
        <v>621</v>
      </c>
      <c r="C417" s="1" t="s">
        <v>1066</v>
      </c>
      <c r="D417" s="4">
        <v>43000</v>
      </c>
      <c r="E417" s="4">
        <v>88000</v>
      </c>
      <c r="F417" s="4">
        <v>65500</v>
      </c>
      <c r="G417" s="1" t="s">
        <v>1366</v>
      </c>
      <c r="H417" t="s">
        <v>1458</v>
      </c>
      <c r="I417" s="1" t="s">
        <v>1271</v>
      </c>
      <c r="J417" s="1" t="s">
        <v>107</v>
      </c>
      <c r="K417" s="1" t="s">
        <v>79</v>
      </c>
      <c r="L417" s="1" t="s">
        <v>43</v>
      </c>
      <c r="M417" s="1" t="s">
        <v>50</v>
      </c>
      <c r="N417" s="1" t="s">
        <v>622</v>
      </c>
      <c r="O417" s="1" t="s">
        <v>259</v>
      </c>
      <c r="P417">
        <v>25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 t="s">
        <v>71</v>
      </c>
      <c r="AH417" s="1" t="str">
        <f t="shared" si="6"/>
        <v>Jr</v>
      </c>
      <c r="AI417" t="s">
        <v>72</v>
      </c>
      <c r="AJ417" s="4">
        <v>65.5</v>
      </c>
      <c r="AK417" s="1">
        <f>Table1[[#This Row],[avg_salary]]*1000</f>
        <v>65500</v>
      </c>
    </row>
    <row r="418" spans="1:37" x14ac:dyDescent="0.3">
      <c r="A418" s="1">
        <v>533</v>
      </c>
      <c r="B418" s="1" t="s">
        <v>623</v>
      </c>
      <c r="C418" s="1" t="s">
        <v>1067</v>
      </c>
      <c r="D418" s="4">
        <v>124000</v>
      </c>
      <c r="E418" s="4">
        <v>199000</v>
      </c>
      <c r="F418" s="4">
        <v>161500</v>
      </c>
      <c r="G418" s="1" t="s">
        <v>1373</v>
      </c>
      <c r="H418" t="s">
        <v>1442</v>
      </c>
      <c r="I418" s="1" t="s">
        <v>1198</v>
      </c>
      <c r="J418" s="1" t="s">
        <v>780</v>
      </c>
      <c r="K418" s="1" t="s">
        <v>53</v>
      </c>
      <c r="L418" s="1" t="s">
        <v>43</v>
      </c>
      <c r="M418" s="1" t="s">
        <v>54</v>
      </c>
      <c r="N418" s="1" t="s">
        <v>624</v>
      </c>
      <c r="O418" s="1" t="s">
        <v>97</v>
      </c>
      <c r="P418">
        <v>57</v>
      </c>
      <c r="Q418" s="1">
        <v>1</v>
      </c>
      <c r="R418" s="1">
        <v>0</v>
      </c>
      <c r="S418" s="1">
        <v>1</v>
      </c>
      <c r="T418" s="1">
        <v>1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1</v>
      </c>
      <c r="AC418" s="1">
        <v>1</v>
      </c>
      <c r="AD418" s="1">
        <v>0</v>
      </c>
      <c r="AE418" s="1">
        <v>0</v>
      </c>
      <c r="AF418" s="1">
        <v>0</v>
      </c>
      <c r="AG418" s="1" t="s">
        <v>33</v>
      </c>
      <c r="AH418" s="1" t="str">
        <f t="shared" si="6"/>
        <v>Sr</v>
      </c>
      <c r="AI418" t="s">
        <v>34</v>
      </c>
      <c r="AJ418" s="4">
        <v>161.5</v>
      </c>
      <c r="AK418" s="1">
        <f>Table1[[#This Row],[avg_salary]]*1000</f>
        <v>161500</v>
      </c>
    </row>
    <row r="419" spans="1:37" x14ac:dyDescent="0.3">
      <c r="A419" s="1">
        <v>534</v>
      </c>
      <c r="B419" s="1" t="s">
        <v>625</v>
      </c>
      <c r="C419" s="1" t="s">
        <v>861</v>
      </c>
      <c r="D419" s="4">
        <v>52000</v>
      </c>
      <c r="E419" s="4">
        <v>93000</v>
      </c>
      <c r="F419" s="4">
        <v>72500</v>
      </c>
      <c r="G419" s="1" t="s">
        <v>1374</v>
      </c>
      <c r="H419" t="s">
        <v>1453</v>
      </c>
      <c r="I419" s="1" t="s">
        <v>1241</v>
      </c>
      <c r="J419" s="1" t="s">
        <v>36</v>
      </c>
      <c r="K419" s="1" t="s">
        <v>89</v>
      </c>
      <c r="L419" s="1" t="s">
        <v>89</v>
      </c>
      <c r="M419" s="1" t="s">
        <v>44</v>
      </c>
      <c r="N419" s="1" t="s">
        <v>626</v>
      </c>
      <c r="O419" s="1" t="s">
        <v>194</v>
      </c>
      <c r="P419">
        <v>39</v>
      </c>
      <c r="Q419" s="1">
        <v>0</v>
      </c>
      <c r="R419" s="1">
        <v>0</v>
      </c>
      <c r="S419" s="1">
        <v>0</v>
      </c>
      <c r="T419" s="1">
        <v>1</v>
      </c>
      <c r="U419" s="1">
        <v>1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1</v>
      </c>
      <c r="AC419" s="1">
        <v>0</v>
      </c>
      <c r="AD419" s="1">
        <v>0</v>
      </c>
      <c r="AE419" s="1">
        <v>0</v>
      </c>
      <c r="AF419" s="1">
        <v>0</v>
      </c>
      <c r="AG419" s="1" t="s">
        <v>88</v>
      </c>
      <c r="AH419" s="1" t="str">
        <f t="shared" si="6"/>
        <v>Jr</v>
      </c>
      <c r="AI419" t="s">
        <v>34</v>
      </c>
      <c r="AJ419" s="4">
        <v>72.5</v>
      </c>
      <c r="AK419" s="1">
        <f>Table1[[#This Row],[avg_salary]]*1000</f>
        <v>72500</v>
      </c>
    </row>
    <row r="420" spans="1:37" x14ac:dyDescent="0.3">
      <c r="A420" s="1">
        <v>535</v>
      </c>
      <c r="B420" s="1" t="s">
        <v>282</v>
      </c>
      <c r="C420" s="1" t="s">
        <v>1068</v>
      </c>
      <c r="D420" s="4">
        <v>97000</v>
      </c>
      <c r="E420" s="4">
        <v>181000</v>
      </c>
      <c r="F420" s="4">
        <v>139000</v>
      </c>
      <c r="G420" s="1" t="s">
        <v>1200</v>
      </c>
      <c r="H420" t="s">
        <v>1439</v>
      </c>
      <c r="I420" s="1" t="s">
        <v>1189</v>
      </c>
      <c r="J420" s="1" t="s">
        <v>781</v>
      </c>
      <c r="K420" s="1" t="s">
        <v>145</v>
      </c>
      <c r="L420" s="1" t="s">
        <v>74</v>
      </c>
      <c r="M420" s="1" t="s">
        <v>121</v>
      </c>
      <c r="N420" s="1" t="s">
        <v>627</v>
      </c>
      <c r="O420" s="1" t="s">
        <v>67</v>
      </c>
      <c r="P420">
        <v>49</v>
      </c>
      <c r="Q420" s="1">
        <v>1</v>
      </c>
      <c r="R420" s="1">
        <v>0</v>
      </c>
      <c r="S420" s="1">
        <v>1</v>
      </c>
      <c r="T420" s="1">
        <v>1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 t="s">
        <v>98</v>
      </c>
      <c r="AH420" s="1" t="str">
        <f t="shared" si="6"/>
        <v>Sr</v>
      </c>
      <c r="AI420" t="s">
        <v>34</v>
      </c>
      <c r="AJ420" s="4">
        <v>139</v>
      </c>
      <c r="AK420" s="1">
        <f>Table1[[#This Row],[avg_salary]]*1000</f>
        <v>139000</v>
      </c>
    </row>
    <row r="421" spans="1:37" x14ac:dyDescent="0.3">
      <c r="A421" s="1">
        <v>537</v>
      </c>
      <c r="B421" s="1" t="s">
        <v>282</v>
      </c>
      <c r="C421" s="1" t="s">
        <v>1069</v>
      </c>
      <c r="D421" s="4">
        <v>100000</v>
      </c>
      <c r="E421" s="4">
        <v>173000</v>
      </c>
      <c r="F421" s="4">
        <v>136500</v>
      </c>
      <c r="G421" s="1" t="s">
        <v>1200</v>
      </c>
      <c r="H421" t="s">
        <v>1439</v>
      </c>
      <c r="I421" s="1" t="s">
        <v>1189</v>
      </c>
      <c r="J421" s="1" t="s">
        <v>780</v>
      </c>
      <c r="K421" s="1" t="s">
        <v>73</v>
      </c>
      <c r="L421" s="1" t="s">
        <v>74</v>
      </c>
      <c r="M421" s="1" t="s">
        <v>121</v>
      </c>
      <c r="N421" s="1" t="s">
        <v>396</v>
      </c>
      <c r="O421" s="1" t="s">
        <v>67</v>
      </c>
      <c r="P421">
        <v>46</v>
      </c>
      <c r="Q421" s="1">
        <v>0</v>
      </c>
      <c r="R421" s="1">
        <v>0</v>
      </c>
      <c r="S421" s="1">
        <v>0</v>
      </c>
      <c r="T421" s="1">
        <v>0</v>
      </c>
      <c r="U421" s="1">
        <v>1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 t="s">
        <v>98</v>
      </c>
      <c r="AH421" s="1" t="str">
        <f t="shared" si="6"/>
        <v>Sr</v>
      </c>
      <c r="AI421" t="s">
        <v>34</v>
      </c>
      <c r="AJ421" s="4">
        <v>136.5</v>
      </c>
      <c r="AK421" s="1">
        <f>Table1[[#This Row],[avg_salary]]*1000</f>
        <v>136500</v>
      </c>
    </row>
    <row r="422" spans="1:37" x14ac:dyDescent="0.3">
      <c r="A422" s="1">
        <v>538</v>
      </c>
      <c r="B422" s="1" t="s">
        <v>628</v>
      </c>
      <c r="C422" s="1" t="s">
        <v>1070</v>
      </c>
      <c r="D422" s="4">
        <v>53000</v>
      </c>
      <c r="E422" s="4">
        <v>96000</v>
      </c>
      <c r="F422" s="4">
        <v>74500</v>
      </c>
      <c r="G422" s="1" t="s">
        <v>1183</v>
      </c>
      <c r="H422" t="s">
        <v>1183</v>
      </c>
      <c r="I422" s="1" t="s">
        <v>1184</v>
      </c>
      <c r="J422" s="1" t="s">
        <v>780</v>
      </c>
      <c r="K422" s="1" t="s">
        <v>311</v>
      </c>
      <c r="L422" s="1" t="s">
        <v>312</v>
      </c>
      <c r="M422" s="1" t="s">
        <v>39</v>
      </c>
      <c r="N422" s="1" t="s">
        <v>427</v>
      </c>
      <c r="O422" s="1" t="s">
        <v>56</v>
      </c>
      <c r="P422">
        <v>60</v>
      </c>
      <c r="Q422" s="1">
        <v>1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 t="s">
        <v>33</v>
      </c>
      <c r="AH422" s="1" t="str">
        <f t="shared" si="6"/>
        <v>Jr</v>
      </c>
      <c r="AI422" t="s">
        <v>34</v>
      </c>
      <c r="AJ422" s="4">
        <v>74.5</v>
      </c>
      <c r="AK422" s="1">
        <f>Table1[[#This Row],[avg_salary]]*1000</f>
        <v>74500</v>
      </c>
    </row>
    <row r="423" spans="1:37" x14ac:dyDescent="0.3">
      <c r="A423" s="1">
        <v>539</v>
      </c>
      <c r="B423" s="1" t="s">
        <v>629</v>
      </c>
      <c r="C423" s="1" t="s">
        <v>1071</v>
      </c>
      <c r="D423" s="4">
        <v>65000</v>
      </c>
      <c r="E423" s="4">
        <v>96000</v>
      </c>
      <c r="F423" s="4">
        <v>80500</v>
      </c>
      <c r="G423" s="1" t="s">
        <v>1359</v>
      </c>
      <c r="H423" t="s">
        <v>1458</v>
      </c>
      <c r="I423" s="1" t="s">
        <v>1271</v>
      </c>
      <c r="J423" s="1" t="s">
        <v>780</v>
      </c>
      <c r="K423" s="1" t="s">
        <v>157</v>
      </c>
      <c r="L423" s="1" t="s">
        <v>158</v>
      </c>
      <c r="M423" s="1" t="s">
        <v>84</v>
      </c>
      <c r="N423" s="1" t="s">
        <v>519</v>
      </c>
      <c r="O423" s="1" t="s">
        <v>259</v>
      </c>
      <c r="P423">
        <v>30</v>
      </c>
      <c r="Q423" s="1">
        <v>0</v>
      </c>
      <c r="R423" s="1">
        <v>0</v>
      </c>
      <c r="S423" s="1">
        <v>0</v>
      </c>
      <c r="T423" s="1">
        <v>1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 t="s">
        <v>71</v>
      </c>
      <c r="AH423" s="1" t="str">
        <f t="shared" si="6"/>
        <v>Jr</v>
      </c>
      <c r="AI423" t="s">
        <v>34</v>
      </c>
      <c r="AJ423" s="4">
        <v>80.5</v>
      </c>
      <c r="AK423" s="1">
        <f>Table1[[#This Row],[avg_salary]]*1000</f>
        <v>80500</v>
      </c>
    </row>
    <row r="424" spans="1:37" x14ac:dyDescent="0.3">
      <c r="A424" s="1">
        <v>540</v>
      </c>
      <c r="B424" s="1" t="s">
        <v>28</v>
      </c>
      <c r="C424" s="1" t="s">
        <v>829</v>
      </c>
      <c r="D424" s="4">
        <v>56000</v>
      </c>
      <c r="E424" s="4">
        <v>95000</v>
      </c>
      <c r="F424" s="4">
        <v>75500</v>
      </c>
      <c r="G424" s="1" t="s">
        <v>1175</v>
      </c>
      <c r="H424" t="s">
        <v>1435</v>
      </c>
      <c r="I424" s="1" t="s">
        <v>1176</v>
      </c>
      <c r="J424" s="1" t="s">
        <v>781</v>
      </c>
      <c r="K424" s="1" t="s">
        <v>89</v>
      </c>
      <c r="L424" s="1" t="s">
        <v>89</v>
      </c>
      <c r="M424" s="1" t="s">
        <v>58</v>
      </c>
      <c r="N424" s="1" t="s">
        <v>149</v>
      </c>
      <c r="O424" s="1" t="s">
        <v>32</v>
      </c>
      <c r="P424">
        <v>37</v>
      </c>
      <c r="Q424" s="1">
        <v>1</v>
      </c>
      <c r="R424" s="1">
        <v>0</v>
      </c>
      <c r="S424" s="1">
        <v>0</v>
      </c>
      <c r="T424" s="1">
        <v>1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 t="s">
        <v>33</v>
      </c>
      <c r="AH424" s="1" t="str">
        <f t="shared" si="6"/>
        <v>Jr</v>
      </c>
      <c r="AI424" t="s">
        <v>34</v>
      </c>
      <c r="AJ424" s="4">
        <v>75.5</v>
      </c>
      <c r="AK424" s="1">
        <f>Table1[[#This Row],[avg_salary]]*1000</f>
        <v>75500</v>
      </c>
    </row>
    <row r="425" spans="1:37" x14ac:dyDescent="0.3">
      <c r="A425" s="1">
        <v>541</v>
      </c>
      <c r="B425" s="1" t="s">
        <v>28</v>
      </c>
      <c r="C425" s="1" t="s">
        <v>831</v>
      </c>
      <c r="D425" s="4">
        <v>111000</v>
      </c>
      <c r="E425" s="4">
        <v>176000</v>
      </c>
      <c r="F425" s="4">
        <v>143500</v>
      </c>
      <c r="G425" s="1" t="s">
        <v>1236</v>
      </c>
      <c r="H425" t="s">
        <v>1452</v>
      </c>
      <c r="I425" s="1" t="s">
        <v>1237</v>
      </c>
      <c r="J425" s="1" t="s">
        <v>780</v>
      </c>
      <c r="K425" s="1" t="s">
        <v>143</v>
      </c>
      <c r="L425" s="1" t="s">
        <v>74</v>
      </c>
      <c r="M425" s="1" t="s">
        <v>54</v>
      </c>
      <c r="N425" s="1" t="s">
        <v>181</v>
      </c>
      <c r="O425" s="1" t="s">
        <v>182</v>
      </c>
      <c r="P425">
        <v>30</v>
      </c>
      <c r="Q425" s="1">
        <v>1</v>
      </c>
      <c r="R425" s="1">
        <v>1</v>
      </c>
      <c r="S425" s="1">
        <v>0</v>
      </c>
      <c r="T425" s="1">
        <v>0</v>
      </c>
      <c r="U425" s="1">
        <v>1</v>
      </c>
      <c r="V425" s="1">
        <v>0</v>
      </c>
      <c r="W425" s="1">
        <v>1</v>
      </c>
      <c r="X425" s="1">
        <v>0</v>
      </c>
      <c r="Y425" s="1">
        <v>1</v>
      </c>
      <c r="Z425" s="1">
        <v>1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 t="s">
        <v>33</v>
      </c>
      <c r="AH425" s="1" t="str">
        <f t="shared" si="6"/>
        <v>Sr</v>
      </c>
      <c r="AI425" t="s">
        <v>34</v>
      </c>
      <c r="AJ425" s="4">
        <v>143.5</v>
      </c>
      <c r="AK425" s="1">
        <f>Table1[[#This Row],[avg_salary]]*1000</f>
        <v>143500</v>
      </c>
    </row>
    <row r="426" spans="1:37" x14ac:dyDescent="0.3">
      <c r="A426" s="1">
        <v>542</v>
      </c>
      <c r="B426" s="1" t="s">
        <v>28</v>
      </c>
      <c r="C426" s="1" t="s">
        <v>1072</v>
      </c>
      <c r="D426" s="4">
        <v>75000</v>
      </c>
      <c r="E426" s="4">
        <v>127000</v>
      </c>
      <c r="F426" s="4">
        <v>101000</v>
      </c>
      <c r="G426" s="1" t="s">
        <v>1309</v>
      </c>
      <c r="H426" t="s">
        <v>1440</v>
      </c>
      <c r="I426" s="1" t="s">
        <v>1192</v>
      </c>
      <c r="J426" s="1" t="s">
        <v>780</v>
      </c>
      <c r="K426" s="1" t="s">
        <v>29</v>
      </c>
      <c r="L426" s="1" t="s">
        <v>29</v>
      </c>
      <c r="M426" s="1" t="s">
        <v>121</v>
      </c>
      <c r="N426" s="1" t="s">
        <v>630</v>
      </c>
      <c r="O426" s="1" t="s">
        <v>81</v>
      </c>
      <c r="P426">
        <v>60</v>
      </c>
      <c r="Q426" s="1">
        <v>1</v>
      </c>
      <c r="R426" s="1">
        <v>0</v>
      </c>
      <c r="S426" s="1">
        <v>0</v>
      </c>
      <c r="T426" s="1">
        <v>0</v>
      </c>
      <c r="U426" s="1">
        <v>1</v>
      </c>
      <c r="V426" s="1">
        <v>1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 t="s">
        <v>33</v>
      </c>
      <c r="AH426" s="1" t="str">
        <f t="shared" si="6"/>
        <v>Jr</v>
      </c>
      <c r="AI426" t="s">
        <v>72</v>
      </c>
      <c r="AJ426" s="4">
        <v>101</v>
      </c>
      <c r="AK426" s="1">
        <f>Table1[[#This Row],[avg_salary]]*1000</f>
        <v>101000</v>
      </c>
    </row>
    <row r="427" spans="1:37" x14ac:dyDescent="0.3">
      <c r="A427" s="1">
        <v>543</v>
      </c>
      <c r="B427" s="1" t="s">
        <v>150</v>
      </c>
      <c r="C427" s="1" t="s">
        <v>1000</v>
      </c>
      <c r="D427" s="4">
        <v>65000</v>
      </c>
      <c r="E427" s="4">
        <v>119000</v>
      </c>
      <c r="F427" s="4">
        <v>92000</v>
      </c>
      <c r="G427" s="1" t="s">
        <v>1309</v>
      </c>
      <c r="H427" t="s">
        <v>1441</v>
      </c>
      <c r="I427" s="1" t="s">
        <v>1196</v>
      </c>
      <c r="J427" s="1" t="s">
        <v>780</v>
      </c>
      <c r="K427" s="1" t="s">
        <v>108</v>
      </c>
      <c r="L427" s="1" t="s">
        <v>109</v>
      </c>
      <c r="M427" s="1" t="s">
        <v>84</v>
      </c>
      <c r="N427" s="1" t="s">
        <v>338</v>
      </c>
      <c r="O427" s="1" t="s">
        <v>91</v>
      </c>
      <c r="P427">
        <v>47</v>
      </c>
      <c r="Q427" s="1">
        <v>1</v>
      </c>
      <c r="R427" s="1">
        <v>1</v>
      </c>
      <c r="S427" s="1">
        <v>0</v>
      </c>
      <c r="T427" s="1">
        <v>1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 t="s">
        <v>98</v>
      </c>
      <c r="AH427" s="1" t="str">
        <f t="shared" si="6"/>
        <v>Jr</v>
      </c>
      <c r="AI427" t="s">
        <v>72</v>
      </c>
      <c r="AJ427" s="4">
        <v>92</v>
      </c>
      <c r="AK427" s="1">
        <f>Table1[[#This Row],[avg_salary]]*1000</f>
        <v>92000</v>
      </c>
    </row>
    <row r="428" spans="1:37" x14ac:dyDescent="0.3">
      <c r="A428" s="1">
        <v>544</v>
      </c>
      <c r="B428" s="1" t="s">
        <v>501</v>
      </c>
      <c r="C428" s="1" t="s">
        <v>785</v>
      </c>
      <c r="D428" s="4">
        <v>56000</v>
      </c>
      <c r="E428" s="4">
        <v>97000</v>
      </c>
      <c r="F428" s="4">
        <v>76500</v>
      </c>
      <c r="G428" s="1" t="s">
        <v>1181</v>
      </c>
      <c r="H428" t="s">
        <v>1223</v>
      </c>
      <c r="I428" s="1" t="s">
        <v>1182</v>
      </c>
      <c r="J428" s="1" t="s">
        <v>47</v>
      </c>
      <c r="K428" s="1" t="s">
        <v>48</v>
      </c>
      <c r="L428" s="1" t="s">
        <v>49</v>
      </c>
      <c r="M428" s="1" t="s">
        <v>50</v>
      </c>
      <c r="N428" s="1" t="s">
        <v>51</v>
      </c>
      <c r="O428" s="1" t="s">
        <v>52</v>
      </c>
      <c r="P428">
        <v>45</v>
      </c>
      <c r="Q428" s="1">
        <v>1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 t="s">
        <v>33</v>
      </c>
      <c r="AH428" s="1" t="str">
        <f t="shared" si="6"/>
        <v>Jr</v>
      </c>
      <c r="AI428" t="s">
        <v>72</v>
      </c>
      <c r="AJ428" s="4">
        <v>76.5</v>
      </c>
      <c r="AK428" s="1">
        <f>Table1[[#This Row],[avg_salary]]*1000</f>
        <v>76500</v>
      </c>
    </row>
    <row r="429" spans="1:37" x14ac:dyDescent="0.3">
      <c r="A429" s="1">
        <v>545</v>
      </c>
      <c r="B429" s="1" t="s">
        <v>388</v>
      </c>
      <c r="C429" s="1" t="s">
        <v>936</v>
      </c>
      <c r="D429" s="4">
        <v>108000</v>
      </c>
      <c r="E429" s="4">
        <v>173000</v>
      </c>
      <c r="F429" s="4">
        <v>140500</v>
      </c>
      <c r="G429" s="1" t="s">
        <v>1312</v>
      </c>
      <c r="H429" t="s">
        <v>1462</v>
      </c>
      <c r="I429" s="1" t="s">
        <v>1293</v>
      </c>
      <c r="J429" s="1" t="s">
        <v>780</v>
      </c>
      <c r="K429" s="1" t="s">
        <v>89</v>
      </c>
      <c r="L429" s="1" t="s">
        <v>89</v>
      </c>
      <c r="M429" s="1" t="s">
        <v>100</v>
      </c>
      <c r="N429" s="1" t="s">
        <v>389</v>
      </c>
      <c r="O429" s="1" t="s">
        <v>318</v>
      </c>
      <c r="P429">
        <v>60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1</v>
      </c>
      <c r="X429" s="1">
        <v>1</v>
      </c>
      <c r="Y429" s="1">
        <v>1</v>
      </c>
      <c r="Z429" s="1">
        <v>1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 t="s">
        <v>33</v>
      </c>
      <c r="AH429" s="1" t="str">
        <f t="shared" si="6"/>
        <v>Sr</v>
      </c>
      <c r="AI429" t="s">
        <v>34</v>
      </c>
      <c r="AJ429" s="4">
        <v>140.5</v>
      </c>
      <c r="AK429" s="1">
        <f>Table1[[#This Row],[avg_salary]]*1000</f>
        <v>140500</v>
      </c>
    </row>
    <row r="430" spans="1:37" x14ac:dyDescent="0.3">
      <c r="A430" s="1">
        <v>546</v>
      </c>
      <c r="B430" s="1" t="s">
        <v>28</v>
      </c>
      <c r="C430" s="1" t="s">
        <v>1073</v>
      </c>
      <c r="D430" s="4">
        <v>94000</v>
      </c>
      <c r="E430" s="4">
        <v>139000</v>
      </c>
      <c r="F430" s="4">
        <v>116500</v>
      </c>
      <c r="G430" s="1" t="s">
        <v>1375</v>
      </c>
      <c r="H430" t="s">
        <v>1442</v>
      </c>
      <c r="I430" s="1" t="s">
        <v>1198</v>
      </c>
      <c r="J430" s="1" t="s">
        <v>781</v>
      </c>
      <c r="K430" s="1" t="s">
        <v>353</v>
      </c>
      <c r="L430" s="1" t="s">
        <v>62</v>
      </c>
      <c r="M430" s="1" t="s">
        <v>84</v>
      </c>
      <c r="N430" s="1" t="s">
        <v>631</v>
      </c>
      <c r="O430" s="1" t="s">
        <v>97</v>
      </c>
      <c r="P430">
        <v>20</v>
      </c>
      <c r="Q430" s="1">
        <v>0</v>
      </c>
      <c r="R430" s="1">
        <v>0</v>
      </c>
      <c r="S430" s="1">
        <v>0</v>
      </c>
      <c r="T430" s="1">
        <v>1</v>
      </c>
      <c r="U430" s="1">
        <v>1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 t="s">
        <v>33</v>
      </c>
      <c r="AH430" s="1" t="str">
        <f t="shared" si="6"/>
        <v>Sr</v>
      </c>
      <c r="AI430" t="s">
        <v>34</v>
      </c>
      <c r="AJ430" s="4">
        <v>116.5</v>
      </c>
      <c r="AK430" s="1">
        <f>Table1[[#This Row],[avg_salary]]*1000</f>
        <v>116500</v>
      </c>
    </row>
    <row r="431" spans="1:37" x14ac:dyDescent="0.3">
      <c r="A431" s="1">
        <v>548</v>
      </c>
      <c r="B431" s="1" t="s">
        <v>632</v>
      </c>
      <c r="C431" s="1" t="s">
        <v>1074</v>
      </c>
      <c r="D431" s="4">
        <v>176000</v>
      </c>
      <c r="E431" s="4">
        <v>289000</v>
      </c>
      <c r="F431" s="4">
        <v>232500</v>
      </c>
      <c r="G431" s="1" t="s">
        <v>1200</v>
      </c>
      <c r="H431" t="s">
        <v>1439</v>
      </c>
      <c r="I431" s="1" t="s">
        <v>1189</v>
      </c>
      <c r="J431" s="1" t="s">
        <v>93</v>
      </c>
      <c r="K431" s="1" t="s">
        <v>145</v>
      </c>
      <c r="L431" s="1" t="s">
        <v>74</v>
      </c>
      <c r="M431" s="1" t="s">
        <v>54</v>
      </c>
      <c r="N431" s="1" t="s">
        <v>633</v>
      </c>
      <c r="O431" s="1" t="s">
        <v>67</v>
      </c>
      <c r="P431">
        <v>57</v>
      </c>
      <c r="Q431" s="1">
        <v>1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 t="s">
        <v>306</v>
      </c>
      <c r="AH431" s="1" t="str">
        <f t="shared" si="6"/>
        <v>Sr</v>
      </c>
      <c r="AI431" t="s">
        <v>72</v>
      </c>
      <c r="AJ431" s="4">
        <v>232.5</v>
      </c>
      <c r="AK431" s="1">
        <f>Table1[[#This Row],[avg_salary]]*1000</f>
        <v>232500</v>
      </c>
    </row>
    <row r="432" spans="1:37" x14ac:dyDescent="0.3">
      <c r="A432" s="1">
        <v>549</v>
      </c>
      <c r="B432" s="1" t="s">
        <v>28</v>
      </c>
      <c r="C432" s="1" t="s">
        <v>1075</v>
      </c>
      <c r="D432" s="4">
        <v>92000</v>
      </c>
      <c r="E432" s="4">
        <v>149000</v>
      </c>
      <c r="F432" s="4">
        <v>120500</v>
      </c>
      <c r="G432" s="1" t="s">
        <v>1200</v>
      </c>
      <c r="H432" t="s">
        <v>1439</v>
      </c>
      <c r="I432" s="1" t="s">
        <v>1189</v>
      </c>
      <c r="J432" s="1" t="s">
        <v>780</v>
      </c>
      <c r="K432" s="1" t="s">
        <v>103</v>
      </c>
      <c r="L432" s="1" t="s">
        <v>74</v>
      </c>
      <c r="M432" s="1" t="s">
        <v>54</v>
      </c>
      <c r="N432" s="1" t="s">
        <v>634</v>
      </c>
      <c r="O432" s="1" t="s">
        <v>67</v>
      </c>
      <c r="P432">
        <v>54</v>
      </c>
      <c r="Q432" s="1">
        <v>1</v>
      </c>
      <c r="R432" s="1">
        <v>0</v>
      </c>
      <c r="S432" s="1">
        <v>0</v>
      </c>
      <c r="T432" s="1">
        <v>0</v>
      </c>
      <c r="U432" s="1">
        <v>1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 t="s">
        <v>33</v>
      </c>
      <c r="AH432" s="1" t="str">
        <f t="shared" si="6"/>
        <v>Sr</v>
      </c>
      <c r="AI432" t="s">
        <v>72</v>
      </c>
      <c r="AJ432" s="4">
        <v>120.5</v>
      </c>
      <c r="AK432" s="1">
        <f>Table1[[#This Row],[avg_salary]]*1000</f>
        <v>120500</v>
      </c>
    </row>
    <row r="433" spans="1:37" x14ac:dyDescent="0.3">
      <c r="A433" s="1">
        <v>550</v>
      </c>
      <c r="B433" s="1" t="s">
        <v>502</v>
      </c>
      <c r="C433" s="1" t="s">
        <v>1001</v>
      </c>
      <c r="D433" s="4">
        <v>63000</v>
      </c>
      <c r="E433" s="4">
        <v>101000</v>
      </c>
      <c r="F433" s="4">
        <v>82000</v>
      </c>
      <c r="G433" s="1" t="s">
        <v>1255</v>
      </c>
      <c r="H433" t="s">
        <v>1440</v>
      </c>
      <c r="I433" s="1" t="s">
        <v>1192</v>
      </c>
      <c r="J433" s="1" t="s">
        <v>780</v>
      </c>
      <c r="K433" s="1" t="s">
        <v>145</v>
      </c>
      <c r="L433" s="1" t="s">
        <v>74</v>
      </c>
      <c r="M433" s="1" t="s">
        <v>58</v>
      </c>
      <c r="N433" s="1" t="s">
        <v>146</v>
      </c>
      <c r="O433" s="1" t="s">
        <v>81</v>
      </c>
      <c r="P433">
        <v>47</v>
      </c>
      <c r="Q433" s="1">
        <v>1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 t="s">
        <v>33</v>
      </c>
      <c r="AH433" s="1" t="str">
        <f t="shared" si="6"/>
        <v>Jr</v>
      </c>
      <c r="AI433" t="s">
        <v>34</v>
      </c>
      <c r="AJ433" s="4">
        <v>82</v>
      </c>
      <c r="AK433" s="1">
        <f>Table1[[#This Row],[avg_salary]]*1000</f>
        <v>82000</v>
      </c>
    </row>
    <row r="434" spans="1:37" x14ac:dyDescent="0.3">
      <c r="A434" s="1">
        <v>552</v>
      </c>
      <c r="B434" s="1" t="s">
        <v>391</v>
      </c>
      <c r="C434" s="1" t="s">
        <v>938</v>
      </c>
      <c r="D434" s="4">
        <v>54000</v>
      </c>
      <c r="E434" s="4">
        <v>115000</v>
      </c>
      <c r="F434" s="4">
        <v>84500</v>
      </c>
      <c r="G434" s="1" t="s">
        <v>1190</v>
      </c>
      <c r="H434" t="s">
        <v>1183</v>
      </c>
      <c r="I434" s="1" t="s">
        <v>1184</v>
      </c>
      <c r="J434" s="1" t="s">
        <v>69</v>
      </c>
      <c r="K434" s="1" t="s">
        <v>37</v>
      </c>
      <c r="L434" s="1" t="s">
        <v>38</v>
      </c>
      <c r="M434" s="1" t="s">
        <v>50</v>
      </c>
      <c r="N434" s="1" t="s">
        <v>70</v>
      </c>
      <c r="O434" s="1" t="s">
        <v>56</v>
      </c>
      <c r="P434">
        <v>36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 t="s">
        <v>71</v>
      </c>
      <c r="AH434" s="1" t="str">
        <f t="shared" si="6"/>
        <v>Jr</v>
      </c>
      <c r="AI434" t="s">
        <v>72</v>
      </c>
      <c r="AJ434" s="4">
        <v>84.5</v>
      </c>
      <c r="AK434" s="1">
        <f>Table1[[#This Row],[avg_salary]]*1000</f>
        <v>84500</v>
      </c>
    </row>
    <row r="435" spans="1:37" x14ac:dyDescent="0.3">
      <c r="A435" s="1">
        <v>554</v>
      </c>
      <c r="B435" s="1" t="s">
        <v>28</v>
      </c>
      <c r="C435" s="1" t="s">
        <v>1076</v>
      </c>
      <c r="D435" s="4">
        <v>118000</v>
      </c>
      <c r="E435" s="4">
        <v>188000</v>
      </c>
      <c r="F435" s="4">
        <v>153000</v>
      </c>
      <c r="G435" s="1" t="s">
        <v>1376</v>
      </c>
      <c r="H435" t="s">
        <v>1439</v>
      </c>
      <c r="I435" s="1" t="s">
        <v>1189</v>
      </c>
      <c r="J435" s="1" t="s">
        <v>781</v>
      </c>
      <c r="K435" s="1" t="s">
        <v>143</v>
      </c>
      <c r="L435" s="1" t="s">
        <v>74</v>
      </c>
      <c r="M435" s="1" t="s">
        <v>54</v>
      </c>
      <c r="N435" s="1" t="s">
        <v>635</v>
      </c>
      <c r="O435" s="1" t="s">
        <v>67</v>
      </c>
      <c r="P435">
        <v>43</v>
      </c>
      <c r="Q435" s="1">
        <v>1</v>
      </c>
      <c r="R435" s="1">
        <v>1</v>
      </c>
      <c r="S435" s="1">
        <v>1</v>
      </c>
      <c r="T435" s="1">
        <v>0</v>
      </c>
      <c r="U435" s="1">
        <v>1</v>
      </c>
      <c r="V435" s="1">
        <v>0</v>
      </c>
      <c r="W435" s="1">
        <v>1</v>
      </c>
      <c r="X435" s="1">
        <v>1</v>
      </c>
      <c r="Y435" s="1">
        <v>0</v>
      </c>
      <c r="Z435" s="1">
        <v>1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 t="s">
        <v>33</v>
      </c>
      <c r="AH435" s="1" t="str">
        <f t="shared" si="6"/>
        <v>Sr</v>
      </c>
      <c r="AI435" t="s">
        <v>72</v>
      </c>
      <c r="AJ435" s="4">
        <v>153</v>
      </c>
      <c r="AK435" s="1">
        <f>Table1[[#This Row],[avg_salary]]*1000</f>
        <v>153000</v>
      </c>
    </row>
    <row r="436" spans="1:37" x14ac:dyDescent="0.3">
      <c r="A436" s="1">
        <v>555</v>
      </c>
      <c r="B436" s="1" t="s">
        <v>28</v>
      </c>
      <c r="C436" s="1" t="s">
        <v>1077</v>
      </c>
      <c r="D436" s="4">
        <v>108000</v>
      </c>
      <c r="E436" s="4">
        <v>146000</v>
      </c>
      <c r="F436" s="4">
        <v>127000</v>
      </c>
      <c r="G436" s="1" t="s">
        <v>1239</v>
      </c>
      <c r="H436" t="s">
        <v>1439</v>
      </c>
      <c r="I436" s="1" t="s">
        <v>1189</v>
      </c>
      <c r="J436" s="1" t="s">
        <v>780</v>
      </c>
      <c r="K436" s="1" t="s">
        <v>73</v>
      </c>
      <c r="L436" s="1" t="s">
        <v>74</v>
      </c>
      <c r="M436" s="1" t="s">
        <v>54</v>
      </c>
      <c r="N436" s="1" t="s">
        <v>636</v>
      </c>
      <c r="O436" s="1" t="s">
        <v>67</v>
      </c>
      <c r="P436">
        <v>27</v>
      </c>
      <c r="Q436" s="1">
        <v>1</v>
      </c>
      <c r="R436" s="1">
        <v>1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 t="s">
        <v>33</v>
      </c>
      <c r="AH436" s="1" t="str">
        <f t="shared" si="6"/>
        <v>Sr</v>
      </c>
      <c r="AI436" t="s">
        <v>34</v>
      </c>
      <c r="AJ436" s="4">
        <v>127</v>
      </c>
      <c r="AK436" s="1">
        <f>Table1[[#This Row],[avg_salary]]*1000</f>
        <v>127000</v>
      </c>
    </row>
    <row r="437" spans="1:37" x14ac:dyDescent="0.3">
      <c r="A437" s="1">
        <v>556</v>
      </c>
      <c r="B437" s="1" t="s">
        <v>28</v>
      </c>
      <c r="C437" s="1" t="s">
        <v>1078</v>
      </c>
      <c r="D437" s="4">
        <v>65000</v>
      </c>
      <c r="E437" s="4">
        <v>106000</v>
      </c>
      <c r="F437" s="4">
        <v>85500</v>
      </c>
      <c r="G437" s="1" t="s">
        <v>1377</v>
      </c>
      <c r="H437" t="s">
        <v>1439</v>
      </c>
      <c r="I437" s="1" t="s">
        <v>1189</v>
      </c>
      <c r="J437" s="1" t="s">
        <v>780</v>
      </c>
      <c r="K437" s="1" t="s">
        <v>145</v>
      </c>
      <c r="L437" s="1" t="s">
        <v>74</v>
      </c>
      <c r="M437" s="1" t="s">
        <v>54</v>
      </c>
      <c r="N437" s="1" t="s">
        <v>637</v>
      </c>
      <c r="O437" s="1" t="s">
        <v>67</v>
      </c>
      <c r="P437">
        <v>21</v>
      </c>
      <c r="Q437" s="1">
        <v>1</v>
      </c>
      <c r="R437" s="1">
        <v>1</v>
      </c>
      <c r="S437" s="1">
        <v>0</v>
      </c>
      <c r="T437" s="1">
        <v>1</v>
      </c>
      <c r="U437" s="1">
        <v>1</v>
      </c>
      <c r="V437" s="1">
        <v>0</v>
      </c>
      <c r="W437" s="1">
        <v>0</v>
      </c>
      <c r="X437" s="1">
        <v>0</v>
      </c>
      <c r="Y437" s="1">
        <v>1</v>
      </c>
      <c r="Z437" s="1">
        <v>1</v>
      </c>
      <c r="AA437" s="1">
        <v>1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 t="s">
        <v>33</v>
      </c>
      <c r="AH437" s="1" t="str">
        <f t="shared" si="6"/>
        <v>Jr</v>
      </c>
      <c r="AI437" t="s">
        <v>72</v>
      </c>
      <c r="AJ437" s="4">
        <v>85.5</v>
      </c>
      <c r="AK437" s="1">
        <f>Table1[[#This Row],[avg_salary]]*1000</f>
        <v>85500</v>
      </c>
    </row>
    <row r="438" spans="1:37" x14ac:dyDescent="0.3">
      <c r="A438" s="1">
        <v>557</v>
      </c>
      <c r="B438" s="1" t="s">
        <v>28</v>
      </c>
      <c r="C438" s="1" t="s">
        <v>1079</v>
      </c>
      <c r="D438" s="4">
        <v>55000</v>
      </c>
      <c r="E438" s="4">
        <v>98000</v>
      </c>
      <c r="F438" s="4">
        <v>76500</v>
      </c>
      <c r="G438" s="1" t="s">
        <v>1378</v>
      </c>
      <c r="H438" t="s">
        <v>1183</v>
      </c>
      <c r="I438" s="1" t="s">
        <v>1184</v>
      </c>
      <c r="J438" s="1" t="s">
        <v>781</v>
      </c>
      <c r="K438" s="1" t="s">
        <v>210</v>
      </c>
      <c r="L438" s="1" t="s">
        <v>43</v>
      </c>
      <c r="M438" s="1" t="s">
        <v>58</v>
      </c>
      <c r="N438" s="1" t="s">
        <v>638</v>
      </c>
      <c r="O438" s="1" t="s">
        <v>56</v>
      </c>
      <c r="P438">
        <v>58</v>
      </c>
      <c r="Q438" s="1">
        <v>1</v>
      </c>
      <c r="R438" s="1">
        <v>0</v>
      </c>
      <c r="S438" s="1">
        <v>0</v>
      </c>
      <c r="T438" s="1">
        <v>1</v>
      </c>
      <c r="U438" s="1">
        <v>1</v>
      </c>
      <c r="V438" s="1">
        <v>1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0</v>
      </c>
      <c r="AD438" s="1">
        <v>0</v>
      </c>
      <c r="AE438" s="1">
        <v>0</v>
      </c>
      <c r="AF438" s="1">
        <v>0</v>
      </c>
      <c r="AG438" s="1" t="s">
        <v>33</v>
      </c>
      <c r="AH438" s="1" t="str">
        <f t="shared" si="6"/>
        <v>Jr</v>
      </c>
      <c r="AI438" t="s">
        <v>34</v>
      </c>
      <c r="AJ438" s="4">
        <v>76.5</v>
      </c>
      <c r="AK438" s="1">
        <f>Table1[[#This Row],[avg_salary]]*1000</f>
        <v>76500</v>
      </c>
    </row>
    <row r="439" spans="1:37" x14ac:dyDescent="0.3">
      <c r="A439" s="1">
        <v>558</v>
      </c>
      <c r="B439" s="1" t="s">
        <v>28</v>
      </c>
      <c r="C439" s="1" t="s">
        <v>1080</v>
      </c>
      <c r="D439" s="4">
        <v>94000</v>
      </c>
      <c r="E439" s="4">
        <v>162000</v>
      </c>
      <c r="F439" s="4">
        <v>128000</v>
      </c>
      <c r="G439" s="1" t="s">
        <v>1183</v>
      </c>
      <c r="H439" t="s">
        <v>1183</v>
      </c>
      <c r="I439" s="1" t="s">
        <v>1184</v>
      </c>
      <c r="J439" s="1" t="s">
        <v>93</v>
      </c>
      <c r="K439" s="1" t="s">
        <v>285</v>
      </c>
      <c r="L439" s="1" t="s">
        <v>95</v>
      </c>
      <c r="M439" s="1" t="s">
        <v>50</v>
      </c>
      <c r="N439" s="1" t="s">
        <v>639</v>
      </c>
      <c r="O439" s="1" t="s">
        <v>56</v>
      </c>
      <c r="P439">
        <v>47</v>
      </c>
      <c r="Q439" s="1">
        <v>1</v>
      </c>
      <c r="R439" s="1">
        <v>1</v>
      </c>
      <c r="S439" s="1">
        <v>0</v>
      </c>
      <c r="T439" s="1">
        <v>0</v>
      </c>
      <c r="U439" s="1">
        <v>1</v>
      </c>
      <c r="V439" s="1">
        <v>0</v>
      </c>
      <c r="W439" s="1">
        <v>1</v>
      </c>
      <c r="X439" s="1">
        <v>0</v>
      </c>
      <c r="Y439" s="1">
        <v>1</v>
      </c>
      <c r="Z439" s="1">
        <v>1</v>
      </c>
      <c r="AA439" s="1">
        <v>1</v>
      </c>
      <c r="AB439" s="1">
        <v>1</v>
      </c>
      <c r="AC439" s="1">
        <v>0</v>
      </c>
      <c r="AD439" s="1">
        <v>0</v>
      </c>
      <c r="AE439" s="1">
        <v>1</v>
      </c>
      <c r="AF439" s="1">
        <v>1</v>
      </c>
      <c r="AG439" s="1" t="s">
        <v>33</v>
      </c>
      <c r="AH439" s="1" t="str">
        <f t="shared" si="6"/>
        <v>Sr</v>
      </c>
      <c r="AI439" t="s">
        <v>34</v>
      </c>
      <c r="AJ439" s="4">
        <v>128</v>
      </c>
      <c r="AK439" s="1">
        <f>Table1[[#This Row],[avg_salary]]*1000</f>
        <v>128000</v>
      </c>
    </row>
    <row r="440" spans="1:37" x14ac:dyDescent="0.3">
      <c r="A440" s="1">
        <v>560</v>
      </c>
      <c r="B440" s="1" t="s">
        <v>150</v>
      </c>
      <c r="C440" s="1" t="s">
        <v>1081</v>
      </c>
      <c r="D440" s="4">
        <v>63000</v>
      </c>
      <c r="E440" s="4">
        <v>120000</v>
      </c>
      <c r="F440" s="4">
        <v>91500</v>
      </c>
      <c r="G440" s="1" t="s">
        <v>1379</v>
      </c>
      <c r="H440" t="s">
        <v>1453</v>
      </c>
      <c r="I440" s="1" t="s">
        <v>1241</v>
      </c>
      <c r="J440" s="1" t="s">
        <v>780</v>
      </c>
      <c r="K440" s="1" t="s">
        <v>200</v>
      </c>
      <c r="L440" s="1" t="s">
        <v>43</v>
      </c>
      <c r="M440" s="1" t="s">
        <v>201</v>
      </c>
      <c r="N440" s="1" t="s">
        <v>202</v>
      </c>
      <c r="O440" s="1" t="s">
        <v>194</v>
      </c>
      <c r="P440">
        <v>38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 t="s">
        <v>98</v>
      </c>
      <c r="AH440" s="1" t="str">
        <f t="shared" si="6"/>
        <v>Jr</v>
      </c>
      <c r="AI440" t="s">
        <v>72</v>
      </c>
      <c r="AJ440" s="4">
        <v>91.5</v>
      </c>
      <c r="AK440" s="1">
        <f>Table1[[#This Row],[avg_salary]]*1000</f>
        <v>91500</v>
      </c>
    </row>
    <row r="441" spans="1:37" x14ac:dyDescent="0.3">
      <c r="A441" s="1">
        <v>561</v>
      </c>
      <c r="B441" s="1" t="s">
        <v>394</v>
      </c>
      <c r="C441" s="1" t="s">
        <v>940</v>
      </c>
      <c r="D441" s="4">
        <v>90000</v>
      </c>
      <c r="E441" s="4">
        <v>179000</v>
      </c>
      <c r="F441" s="4">
        <v>134500</v>
      </c>
      <c r="G441" s="1" t="s">
        <v>1195</v>
      </c>
      <c r="H441" t="s">
        <v>1441</v>
      </c>
      <c r="I441" s="1" t="s">
        <v>1196</v>
      </c>
      <c r="J441" s="1" t="s">
        <v>781</v>
      </c>
      <c r="K441" s="1" t="s">
        <v>89</v>
      </c>
      <c r="L441" s="1" t="s">
        <v>89</v>
      </c>
      <c r="M441" s="1" t="s">
        <v>44</v>
      </c>
      <c r="N441" s="1" t="s">
        <v>356</v>
      </c>
      <c r="O441" s="1" t="s">
        <v>91</v>
      </c>
      <c r="P441">
        <v>19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 t="s">
        <v>71</v>
      </c>
      <c r="AH441" s="1" t="str">
        <f t="shared" si="6"/>
        <v>Sr</v>
      </c>
      <c r="AI441" t="s">
        <v>72</v>
      </c>
      <c r="AJ441" s="4">
        <v>134.5</v>
      </c>
      <c r="AK441" s="1">
        <f>Table1[[#This Row],[avg_salary]]*1000</f>
        <v>134500</v>
      </c>
    </row>
    <row r="442" spans="1:37" x14ac:dyDescent="0.3">
      <c r="A442" s="1">
        <v>562</v>
      </c>
      <c r="B442" s="1" t="s">
        <v>28</v>
      </c>
      <c r="C442" s="1" t="s">
        <v>1002</v>
      </c>
      <c r="D442" s="4">
        <v>127000</v>
      </c>
      <c r="E442" s="4">
        <v>202000</v>
      </c>
      <c r="F442" s="4">
        <v>164500</v>
      </c>
      <c r="G442" s="1" t="s">
        <v>1200</v>
      </c>
      <c r="H442" t="s">
        <v>1439</v>
      </c>
      <c r="I442" s="1" t="s">
        <v>1189</v>
      </c>
      <c r="J442" s="1" t="s">
        <v>780</v>
      </c>
      <c r="K442" s="1" t="s">
        <v>53</v>
      </c>
      <c r="L442" s="1" t="s">
        <v>43</v>
      </c>
      <c r="M442" s="1" t="s">
        <v>54</v>
      </c>
      <c r="N442" s="1" t="s">
        <v>503</v>
      </c>
      <c r="O442" s="1" t="s">
        <v>67</v>
      </c>
      <c r="P442">
        <v>21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 t="s">
        <v>33</v>
      </c>
      <c r="AH442" s="1" t="str">
        <f t="shared" si="6"/>
        <v>Sr</v>
      </c>
      <c r="AI442" t="s">
        <v>34</v>
      </c>
      <c r="AJ442" s="4">
        <v>164.5</v>
      </c>
      <c r="AK442" s="1">
        <f>Table1[[#This Row],[avg_salary]]*1000</f>
        <v>164500</v>
      </c>
    </row>
    <row r="443" spans="1:37" x14ac:dyDescent="0.3">
      <c r="A443" s="1">
        <v>563</v>
      </c>
      <c r="B443" s="1" t="s">
        <v>392</v>
      </c>
      <c r="C443" s="1" t="s">
        <v>939</v>
      </c>
      <c r="D443" s="4">
        <v>60000</v>
      </c>
      <c r="E443" s="4">
        <v>127000</v>
      </c>
      <c r="F443" s="4">
        <v>93500</v>
      </c>
      <c r="G443" s="1" t="s">
        <v>1314</v>
      </c>
      <c r="H443" t="s">
        <v>1436</v>
      </c>
      <c r="I443" s="1" t="s">
        <v>1178</v>
      </c>
      <c r="J443" s="1" t="s">
        <v>780</v>
      </c>
      <c r="K443" s="1" t="s">
        <v>145</v>
      </c>
      <c r="L443" s="1" t="s">
        <v>74</v>
      </c>
      <c r="M443" s="1" t="s">
        <v>201</v>
      </c>
      <c r="N443" s="1" t="s">
        <v>393</v>
      </c>
      <c r="O443" s="1" t="s">
        <v>41</v>
      </c>
      <c r="P443">
        <v>55</v>
      </c>
      <c r="Q443" s="1">
        <v>0</v>
      </c>
      <c r="R443" s="1">
        <v>0</v>
      </c>
      <c r="S443" s="1">
        <v>0</v>
      </c>
      <c r="T443" s="1">
        <v>1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 t="s">
        <v>1471</v>
      </c>
      <c r="AH443" s="1" t="str">
        <f t="shared" si="6"/>
        <v>Jr</v>
      </c>
      <c r="AI443" t="s">
        <v>34</v>
      </c>
      <c r="AJ443" s="4">
        <v>93.5</v>
      </c>
      <c r="AK443" s="1">
        <f>Table1[[#This Row],[avg_salary]]*1000</f>
        <v>93500</v>
      </c>
    </row>
    <row r="444" spans="1:37" x14ac:dyDescent="0.3">
      <c r="A444" s="1">
        <v>565</v>
      </c>
      <c r="B444" s="1" t="s">
        <v>504</v>
      </c>
      <c r="C444" s="1" t="s">
        <v>1003</v>
      </c>
      <c r="D444" s="4">
        <v>31000</v>
      </c>
      <c r="E444" s="4">
        <v>57000</v>
      </c>
      <c r="F444" s="4">
        <v>44000</v>
      </c>
      <c r="G444" s="1" t="s">
        <v>1348</v>
      </c>
      <c r="H444" t="s">
        <v>1437</v>
      </c>
      <c r="I444" s="1" t="s">
        <v>1180</v>
      </c>
      <c r="J444" s="1" t="s">
        <v>781</v>
      </c>
      <c r="K444" s="1" t="s">
        <v>505</v>
      </c>
      <c r="L444" s="1" t="s">
        <v>139</v>
      </c>
      <c r="M444" s="1" t="s">
        <v>30</v>
      </c>
      <c r="N444" s="1" t="s">
        <v>506</v>
      </c>
      <c r="O444" s="1" t="s">
        <v>46</v>
      </c>
      <c r="P444">
        <v>56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 t="s">
        <v>88</v>
      </c>
      <c r="AH444" s="1" t="str">
        <f t="shared" si="6"/>
        <v>Jr</v>
      </c>
      <c r="AI444" t="s">
        <v>34</v>
      </c>
      <c r="AJ444" s="4">
        <v>44</v>
      </c>
      <c r="AK444" s="1">
        <f>Table1[[#This Row],[avg_salary]]*1000</f>
        <v>44000</v>
      </c>
    </row>
    <row r="445" spans="1:37" x14ac:dyDescent="0.3">
      <c r="A445" s="1">
        <v>566</v>
      </c>
      <c r="B445" s="1" t="s">
        <v>507</v>
      </c>
      <c r="C445" s="1" t="s">
        <v>1005</v>
      </c>
      <c r="D445" s="4">
        <v>105000</v>
      </c>
      <c r="E445" s="4">
        <v>194000</v>
      </c>
      <c r="F445" s="4">
        <v>149500</v>
      </c>
      <c r="G445" s="1" t="s">
        <v>1331</v>
      </c>
      <c r="H445" t="s">
        <v>1438</v>
      </c>
      <c r="I445" s="1" t="s">
        <v>1186</v>
      </c>
      <c r="J445" s="1" t="s">
        <v>780</v>
      </c>
      <c r="K445" s="1" t="s">
        <v>145</v>
      </c>
      <c r="L445" s="1" t="s">
        <v>74</v>
      </c>
      <c r="M445" s="1" t="s">
        <v>54</v>
      </c>
      <c r="N445" s="1" t="s">
        <v>508</v>
      </c>
      <c r="O445" s="1" t="s">
        <v>60</v>
      </c>
      <c r="P445">
        <v>31</v>
      </c>
      <c r="Q445" s="1">
        <v>0</v>
      </c>
      <c r="R445" s="1">
        <v>1</v>
      </c>
      <c r="S445" s="1">
        <v>1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 t="s">
        <v>98</v>
      </c>
      <c r="AH445" s="1" t="str">
        <f t="shared" si="6"/>
        <v>Sr</v>
      </c>
      <c r="AI445" t="s">
        <v>34</v>
      </c>
      <c r="AJ445" s="4">
        <v>149.5</v>
      </c>
      <c r="AK445" s="1">
        <f>Table1[[#This Row],[avg_salary]]*1000</f>
        <v>149500</v>
      </c>
    </row>
    <row r="446" spans="1:37" x14ac:dyDescent="0.3">
      <c r="A446" s="1">
        <v>567</v>
      </c>
      <c r="B446" s="1" t="s">
        <v>509</v>
      </c>
      <c r="C446" s="1" t="s">
        <v>1006</v>
      </c>
      <c r="D446" s="4">
        <v>45000</v>
      </c>
      <c r="E446" s="4">
        <v>86000</v>
      </c>
      <c r="F446" s="4">
        <v>65500</v>
      </c>
      <c r="G446" s="1" t="s">
        <v>1223</v>
      </c>
      <c r="H446" t="s">
        <v>1449</v>
      </c>
      <c r="I446" s="1" t="s">
        <v>1224</v>
      </c>
      <c r="J446" s="1" t="s">
        <v>780</v>
      </c>
      <c r="K446" s="1" t="s">
        <v>79</v>
      </c>
      <c r="L446" s="1" t="s">
        <v>43</v>
      </c>
      <c r="M446" s="1" t="s">
        <v>54</v>
      </c>
      <c r="N446" s="1" t="s">
        <v>510</v>
      </c>
      <c r="O446" s="1" t="s">
        <v>162</v>
      </c>
      <c r="P446">
        <v>45</v>
      </c>
      <c r="Q446" s="1">
        <v>0</v>
      </c>
      <c r="R446" s="1">
        <v>1</v>
      </c>
      <c r="S446" s="1">
        <v>1</v>
      </c>
      <c r="T446" s="1">
        <v>1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 t="s">
        <v>98</v>
      </c>
      <c r="AH446" s="1" t="str">
        <f t="shared" si="6"/>
        <v>Jr</v>
      </c>
      <c r="AI446" t="s">
        <v>34</v>
      </c>
      <c r="AJ446" s="4">
        <v>65.5</v>
      </c>
      <c r="AK446" s="1">
        <f>Table1[[#This Row],[avg_salary]]*1000</f>
        <v>65500</v>
      </c>
    </row>
    <row r="447" spans="1:37" x14ac:dyDescent="0.3">
      <c r="A447" s="1">
        <v>568</v>
      </c>
      <c r="B447" s="1" t="s">
        <v>150</v>
      </c>
      <c r="C447" s="1" t="s">
        <v>1004</v>
      </c>
      <c r="D447" s="4">
        <v>75000</v>
      </c>
      <c r="E447" s="4">
        <v>143000</v>
      </c>
      <c r="F447" s="4">
        <v>109000</v>
      </c>
      <c r="G447" s="1" t="s">
        <v>1207</v>
      </c>
      <c r="H447" t="s">
        <v>1440</v>
      </c>
      <c r="I447" s="1" t="s">
        <v>1192</v>
      </c>
      <c r="J447" s="1" t="s">
        <v>780</v>
      </c>
      <c r="K447" s="1" t="s">
        <v>103</v>
      </c>
      <c r="L447" s="1" t="s">
        <v>74</v>
      </c>
      <c r="M447" s="1" t="s">
        <v>54</v>
      </c>
      <c r="N447" s="1" t="s">
        <v>206</v>
      </c>
      <c r="O447" s="1" t="s">
        <v>81</v>
      </c>
      <c r="P447">
        <v>29</v>
      </c>
      <c r="Q447" s="1">
        <v>1</v>
      </c>
      <c r="R447" s="1">
        <v>1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1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 t="s">
        <v>98</v>
      </c>
      <c r="AH447" s="1" t="str">
        <f t="shared" si="6"/>
        <v>Jr</v>
      </c>
      <c r="AI447" t="s">
        <v>72</v>
      </c>
      <c r="AJ447" s="4">
        <v>109</v>
      </c>
      <c r="AK447" s="1">
        <f>Table1[[#This Row],[avg_salary]]*1000</f>
        <v>109000</v>
      </c>
    </row>
    <row r="448" spans="1:37" x14ac:dyDescent="0.3">
      <c r="A448" s="1">
        <v>570</v>
      </c>
      <c r="B448" s="1" t="s">
        <v>507</v>
      </c>
      <c r="C448" s="1" t="s">
        <v>1082</v>
      </c>
      <c r="D448" s="4">
        <v>126000</v>
      </c>
      <c r="E448" s="4">
        <v>228000</v>
      </c>
      <c r="F448" s="4">
        <v>177000</v>
      </c>
      <c r="G448" s="1" t="s">
        <v>1199</v>
      </c>
      <c r="H448" t="s">
        <v>1439</v>
      </c>
      <c r="I448" s="1" t="s">
        <v>1189</v>
      </c>
      <c r="J448" s="1" t="s">
        <v>93</v>
      </c>
      <c r="K448" s="1" t="s">
        <v>145</v>
      </c>
      <c r="L448" s="1" t="s">
        <v>74</v>
      </c>
      <c r="M448" s="1" t="s">
        <v>30</v>
      </c>
      <c r="N448" s="1" t="s">
        <v>640</v>
      </c>
      <c r="O448" s="1" t="s">
        <v>67</v>
      </c>
      <c r="P448">
        <v>23</v>
      </c>
      <c r="Q448" s="1">
        <v>1</v>
      </c>
      <c r="R448" s="1">
        <v>1</v>
      </c>
      <c r="S448" s="1">
        <v>1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1</v>
      </c>
      <c r="AB448" s="1">
        <v>0</v>
      </c>
      <c r="AC448" s="1">
        <v>0</v>
      </c>
      <c r="AD448" s="1">
        <v>1</v>
      </c>
      <c r="AE448" s="1">
        <v>1</v>
      </c>
      <c r="AF448" s="1">
        <v>0</v>
      </c>
      <c r="AG448" s="1" t="s">
        <v>98</v>
      </c>
      <c r="AH448" s="1" t="str">
        <f t="shared" si="6"/>
        <v>Sr</v>
      </c>
      <c r="AI448" t="s">
        <v>72</v>
      </c>
      <c r="AJ448" s="4">
        <v>177</v>
      </c>
      <c r="AK448" s="1">
        <f>Table1[[#This Row],[avg_salary]]*1000</f>
        <v>177000</v>
      </c>
    </row>
    <row r="449" spans="1:37" x14ac:dyDescent="0.3">
      <c r="A449" s="1">
        <v>572</v>
      </c>
      <c r="B449" s="1" t="s">
        <v>28</v>
      </c>
      <c r="C449" s="1" t="s">
        <v>1083</v>
      </c>
      <c r="D449" s="4">
        <v>80000</v>
      </c>
      <c r="E449" s="4">
        <v>134000</v>
      </c>
      <c r="F449" s="4">
        <v>107000</v>
      </c>
      <c r="G449" s="1" t="s">
        <v>1255</v>
      </c>
      <c r="H449" t="s">
        <v>1440</v>
      </c>
      <c r="I449" s="1" t="s">
        <v>1192</v>
      </c>
      <c r="J449" s="1" t="s">
        <v>780</v>
      </c>
      <c r="K449" s="1" t="s">
        <v>29</v>
      </c>
      <c r="L449" s="1" t="s">
        <v>29</v>
      </c>
      <c r="M449" s="1" t="s">
        <v>44</v>
      </c>
      <c r="N449" s="1" t="s">
        <v>147</v>
      </c>
      <c r="O449" s="1" t="s">
        <v>81</v>
      </c>
      <c r="P449">
        <v>45</v>
      </c>
      <c r="Q449" s="1">
        <v>1</v>
      </c>
      <c r="R449" s="1">
        <v>1</v>
      </c>
      <c r="S449" s="1">
        <v>0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1</v>
      </c>
      <c r="Z449" s="1">
        <v>1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 t="s">
        <v>33</v>
      </c>
      <c r="AH449" s="1" t="str">
        <f t="shared" si="6"/>
        <v>Jr</v>
      </c>
      <c r="AI449" t="s">
        <v>72</v>
      </c>
      <c r="AJ449" s="4">
        <v>107</v>
      </c>
      <c r="AK449" s="1">
        <f>Table1[[#This Row],[avg_salary]]*1000</f>
        <v>107000</v>
      </c>
    </row>
    <row r="450" spans="1:37" x14ac:dyDescent="0.3">
      <c r="A450" s="1">
        <v>573</v>
      </c>
      <c r="B450" s="1" t="s">
        <v>28</v>
      </c>
      <c r="C450" s="1" t="s">
        <v>830</v>
      </c>
      <c r="D450" s="4">
        <v>120000</v>
      </c>
      <c r="E450" s="4">
        <v>189000</v>
      </c>
      <c r="F450" s="4">
        <v>154500</v>
      </c>
      <c r="G450" s="1" t="s">
        <v>1380</v>
      </c>
      <c r="H450" t="s">
        <v>1439</v>
      </c>
      <c r="I450" s="1" t="s">
        <v>1189</v>
      </c>
      <c r="J450" s="1" t="s">
        <v>780</v>
      </c>
      <c r="K450" s="1" t="s">
        <v>103</v>
      </c>
      <c r="L450" s="1" t="s">
        <v>74</v>
      </c>
      <c r="M450" s="1" t="s">
        <v>54</v>
      </c>
      <c r="N450" s="1" t="s">
        <v>180</v>
      </c>
      <c r="O450" s="1" t="s">
        <v>67</v>
      </c>
      <c r="P450">
        <v>55</v>
      </c>
      <c r="Q450" s="1">
        <v>1</v>
      </c>
      <c r="R450" s="1">
        <v>1</v>
      </c>
      <c r="S450" s="1">
        <v>0</v>
      </c>
      <c r="T450" s="1">
        <v>1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1</v>
      </c>
      <c r="AA450" s="1">
        <v>0</v>
      </c>
      <c r="AB450" s="1">
        <v>0</v>
      </c>
      <c r="AC450" s="1">
        <v>0</v>
      </c>
      <c r="AD450" s="1">
        <v>1</v>
      </c>
      <c r="AE450" s="1">
        <v>0</v>
      </c>
      <c r="AF450" s="1">
        <v>0</v>
      </c>
      <c r="AG450" s="1" t="s">
        <v>33</v>
      </c>
      <c r="AH450" s="1" t="str">
        <f t="shared" ref="AH450:AH513" si="7">IF(VALUE(AJ450) &gt;= 114, "Sr", "Jr")</f>
        <v>Sr</v>
      </c>
      <c r="AI450" t="s">
        <v>72</v>
      </c>
      <c r="AJ450" s="4">
        <v>154.5</v>
      </c>
      <c r="AK450" s="1">
        <f>Table1[[#This Row],[avg_salary]]*1000</f>
        <v>154500</v>
      </c>
    </row>
    <row r="451" spans="1:37" x14ac:dyDescent="0.3">
      <c r="A451" s="1">
        <v>575</v>
      </c>
      <c r="B451" s="1" t="s">
        <v>28</v>
      </c>
      <c r="C451" s="1" t="s">
        <v>1084</v>
      </c>
      <c r="D451" s="4">
        <v>85000</v>
      </c>
      <c r="E451" s="4">
        <v>142000</v>
      </c>
      <c r="F451" s="4">
        <v>113500</v>
      </c>
      <c r="G451" s="1" t="s">
        <v>1380</v>
      </c>
      <c r="H451" t="s">
        <v>1439</v>
      </c>
      <c r="I451" s="1" t="s">
        <v>1189</v>
      </c>
      <c r="J451" s="1" t="s">
        <v>780</v>
      </c>
      <c r="K451" s="1" t="s">
        <v>641</v>
      </c>
      <c r="L451" s="1" t="s">
        <v>642</v>
      </c>
      <c r="M451" s="1" t="s">
        <v>153</v>
      </c>
      <c r="N451" s="1" t="s">
        <v>643</v>
      </c>
      <c r="O451" s="1" t="s">
        <v>67</v>
      </c>
      <c r="P451">
        <v>37</v>
      </c>
      <c r="Q451" s="1">
        <v>1</v>
      </c>
      <c r="R451" s="1">
        <v>1</v>
      </c>
      <c r="S451" s="1">
        <v>0</v>
      </c>
      <c r="T451" s="1">
        <v>0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 t="s">
        <v>33</v>
      </c>
      <c r="AH451" s="1" t="str">
        <f t="shared" si="7"/>
        <v>Jr</v>
      </c>
      <c r="AI451" t="s">
        <v>72</v>
      </c>
      <c r="AJ451" s="4">
        <v>113.5</v>
      </c>
      <c r="AK451" s="1">
        <f>Table1[[#This Row],[avg_salary]]*1000</f>
        <v>113500</v>
      </c>
    </row>
    <row r="452" spans="1:37" x14ac:dyDescent="0.3">
      <c r="A452" s="1">
        <v>576</v>
      </c>
      <c r="B452" s="1" t="s">
        <v>148</v>
      </c>
      <c r="C452" s="1" t="s">
        <v>1007</v>
      </c>
      <c r="D452" s="4">
        <v>95000</v>
      </c>
      <c r="E452" s="4">
        <v>154000</v>
      </c>
      <c r="F452" s="4">
        <v>124500</v>
      </c>
      <c r="G452" s="1" t="s">
        <v>1270</v>
      </c>
      <c r="H452" t="s">
        <v>1458</v>
      </c>
      <c r="I452" s="1" t="s">
        <v>1271</v>
      </c>
      <c r="J452" s="1" t="s">
        <v>781</v>
      </c>
      <c r="K452" s="1" t="s">
        <v>108</v>
      </c>
      <c r="L452" s="1" t="s">
        <v>109</v>
      </c>
      <c r="M452" s="1" t="s">
        <v>54</v>
      </c>
      <c r="N452" s="1" t="s">
        <v>511</v>
      </c>
      <c r="O452" s="1" t="s">
        <v>259</v>
      </c>
      <c r="P452">
        <v>41</v>
      </c>
      <c r="Q452" s="1">
        <v>1</v>
      </c>
      <c r="R452" s="1">
        <v>1</v>
      </c>
      <c r="S452" s="1">
        <v>0</v>
      </c>
      <c r="T452" s="1">
        <v>1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 t="s">
        <v>33</v>
      </c>
      <c r="AH452" s="1" t="str">
        <f t="shared" si="7"/>
        <v>Sr</v>
      </c>
      <c r="AI452" t="s">
        <v>34</v>
      </c>
      <c r="AJ452" s="4">
        <v>124.5</v>
      </c>
      <c r="AK452" s="1">
        <f>Table1[[#This Row],[avg_salary]]*1000</f>
        <v>124500</v>
      </c>
    </row>
    <row r="453" spans="1:37" x14ac:dyDescent="0.3">
      <c r="A453" s="1">
        <v>577</v>
      </c>
      <c r="B453" s="1" t="s">
        <v>28</v>
      </c>
      <c r="C453" s="1" t="s">
        <v>831</v>
      </c>
      <c r="D453" s="4">
        <v>111000</v>
      </c>
      <c r="E453" s="4">
        <v>176000</v>
      </c>
      <c r="F453" s="4">
        <v>143500</v>
      </c>
      <c r="G453" s="1" t="s">
        <v>1381</v>
      </c>
      <c r="H453" t="s">
        <v>1439</v>
      </c>
      <c r="I453" s="1" t="s">
        <v>1189</v>
      </c>
      <c r="J453" s="1" t="s">
        <v>780</v>
      </c>
      <c r="K453" s="1" t="s">
        <v>89</v>
      </c>
      <c r="L453" s="1" t="s">
        <v>89</v>
      </c>
      <c r="M453" s="1" t="s">
        <v>54</v>
      </c>
      <c r="N453" s="1" t="s">
        <v>644</v>
      </c>
      <c r="O453" s="1" t="s">
        <v>67</v>
      </c>
      <c r="P453">
        <v>30</v>
      </c>
      <c r="Q453" s="1">
        <v>1</v>
      </c>
      <c r="R453" s="1">
        <v>0</v>
      </c>
      <c r="S453" s="1">
        <v>0</v>
      </c>
      <c r="T453" s="1">
        <v>1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 t="s">
        <v>33</v>
      </c>
      <c r="AH453" s="1" t="str">
        <f t="shared" si="7"/>
        <v>Sr</v>
      </c>
      <c r="AI453" t="s">
        <v>72</v>
      </c>
      <c r="AJ453" s="4">
        <v>143.5</v>
      </c>
      <c r="AK453" s="1">
        <f>Table1[[#This Row],[avg_salary]]*1000</f>
        <v>143500</v>
      </c>
    </row>
    <row r="454" spans="1:37" x14ac:dyDescent="0.3">
      <c r="A454" s="1">
        <v>578</v>
      </c>
      <c r="B454" s="1" t="s">
        <v>28</v>
      </c>
      <c r="C454" s="1" t="s">
        <v>1085</v>
      </c>
      <c r="D454" s="4">
        <v>87000</v>
      </c>
      <c r="E454" s="4">
        <v>140000</v>
      </c>
      <c r="F454" s="4">
        <v>113500</v>
      </c>
      <c r="G454" s="1" t="s">
        <v>1200</v>
      </c>
      <c r="H454" t="s">
        <v>1439</v>
      </c>
      <c r="I454" s="1" t="s">
        <v>1189</v>
      </c>
      <c r="J454" s="1" t="s">
        <v>780</v>
      </c>
      <c r="K454" s="1" t="s">
        <v>143</v>
      </c>
      <c r="L454" s="1" t="s">
        <v>74</v>
      </c>
      <c r="M454" s="1" t="s">
        <v>153</v>
      </c>
      <c r="N454" s="1" t="s">
        <v>645</v>
      </c>
      <c r="O454" s="1" t="s">
        <v>67</v>
      </c>
      <c r="P454">
        <v>50</v>
      </c>
      <c r="Q454" s="1">
        <v>1</v>
      </c>
      <c r="R454" s="1">
        <v>0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 t="s">
        <v>33</v>
      </c>
      <c r="AH454" s="1" t="str">
        <f t="shared" si="7"/>
        <v>Jr</v>
      </c>
      <c r="AI454" t="s">
        <v>34</v>
      </c>
      <c r="AJ454" s="4">
        <v>113.5</v>
      </c>
      <c r="AK454" s="1">
        <f>Table1[[#This Row],[avg_salary]]*1000</f>
        <v>113500</v>
      </c>
    </row>
    <row r="455" spans="1:37" x14ac:dyDescent="0.3">
      <c r="A455" s="1">
        <v>579</v>
      </c>
      <c r="B455" s="1" t="s">
        <v>28</v>
      </c>
      <c r="C455" s="1" t="s">
        <v>1086</v>
      </c>
      <c r="D455" s="4">
        <v>76000</v>
      </c>
      <c r="E455" s="4">
        <v>127000</v>
      </c>
      <c r="F455" s="4">
        <v>101500</v>
      </c>
      <c r="G455" s="1" t="s">
        <v>1309</v>
      </c>
      <c r="H455" t="s">
        <v>1440</v>
      </c>
      <c r="I455" s="1" t="s">
        <v>1192</v>
      </c>
      <c r="J455" s="1" t="s">
        <v>781</v>
      </c>
      <c r="K455" s="1" t="s">
        <v>29</v>
      </c>
      <c r="L455" s="1" t="s">
        <v>29</v>
      </c>
      <c r="M455" s="1" t="s">
        <v>84</v>
      </c>
      <c r="N455" s="1" t="s">
        <v>646</v>
      </c>
      <c r="O455" s="1" t="s">
        <v>81</v>
      </c>
      <c r="P455">
        <v>24</v>
      </c>
      <c r="Q455" s="1">
        <v>1</v>
      </c>
      <c r="R455" s="1">
        <v>0</v>
      </c>
      <c r="S455" s="1">
        <v>1</v>
      </c>
      <c r="T455" s="1">
        <v>0</v>
      </c>
      <c r="U455" s="1">
        <v>0</v>
      </c>
      <c r="V455" s="1">
        <v>0</v>
      </c>
      <c r="W455" s="1">
        <v>0</v>
      </c>
      <c r="X455" s="1">
        <v>1</v>
      </c>
      <c r="Y455" s="1">
        <v>0</v>
      </c>
      <c r="Z455" s="1">
        <v>1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 t="s">
        <v>33</v>
      </c>
      <c r="AH455" s="1" t="str">
        <f t="shared" si="7"/>
        <v>Jr</v>
      </c>
      <c r="AI455" t="s">
        <v>34</v>
      </c>
      <c r="AJ455" s="4">
        <v>101.5</v>
      </c>
      <c r="AK455" s="1">
        <f>Table1[[#This Row],[avg_salary]]*1000</f>
        <v>101500</v>
      </c>
    </row>
    <row r="456" spans="1:37" x14ac:dyDescent="0.3">
      <c r="A456" s="1">
        <v>580</v>
      </c>
      <c r="B456" s="1" t="s">
        <v>647</v>
      </c>
      <c r="C456" s="1" t="s">
        <v>1087</v>
      </c>
      <c r="D456" s="4">
        <v>54000</v>
      </c>
      <c r="E456" s="4">
        <v>92000</v>
      </c>
      <c r="F456" s="4">
        <v>73000</v>
      </c>
      <c r="G456" s="1" t="s">
        <v>1183</v>
      </c>
      <c r="H456" t="s">
        <v>1183</v>
      </c>
      <c r="I456" s="1" t="s">
        <v>1184</v>
      </c>
      <c r="J456" s="1" t="s">
        <v>93</v>
      </c>
      <c r="K456" s="1" t="s">
        <v>648</v>
      </c>
      <c r="L456" s="1" t="s">
        <v>158</v>
      </c>
      <c r="M456" s="1" t="s">
        <v>39</v>
      </c>
      <c r="N456" s="1" t="s">
        <v>649</v>
      </c>
      <c r="O456" s="1" t="s">
        <v>56</v>
      </c>
      <c r="P456">
        <v>60</v>
      </c>
      <c r="Q456" s="1">
        <v>0</v>
      </c>
      <c r="R456" s="1">
        <v>0</v>
      </c>
      <c r="S456" s="1">
        <v>1</v>
      </c>
      <c r="T456" s="1">
        <v>1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1</v>
      </c>
      <c r="AC456" s="1">
        <v>1</v>
      </c>
      <c r="AD456" s="1">
        <v>0</v>
      </c>
      <c r="AE456" s="1">
        <v>0</v>
      </c>
      <c r="AF456" s="1">
        <v>0</v>
      </c>
      <c r="AG456" s="1" t="s">
        <v>88</v>
      </c>
      <c r="AH456" s="1" t="str">
        <f t="shared" si="7"/>
        <v>Jr</v>
      </c>
      <c r="AI456" t="s">
        <v>34</v>
      </c>
      <c r="AJ456" s="4">
        <v>73</v>
      </c>
      <c r="AK456" s="1">
        <f>Table1[[#This Row],[avg_salary]]*1000</f>
        <v>73000</v>
      </c>
    </row>
    <row r="457" spans="1:37" x14ac:dyDescent="0.3">
      <c r="A457" s="1">
        <v>582</v>
      </c>
      <c r="B457" s="1" t="s">
        <v>28</v>
      </c>
      <c r="C457" s="1" t="s">
        <v>1088</v>
      </c>
      <c r="D457" s="4">
        <v>61000</v>
      </c>
      <c r="E457" s="4">
        <v>100000</v>
      </c>
      <c r="F457" s="4">
        <v>80500</v>
      </c>
      <c r="G457" s="1" t="s">
        <v>1183</v>
      </c>
      <c r="H457" t="s">
        <v>1183</v>
      </c>
      <c r="I457" s="1" t="s">
        <v>1184</v>
      </c>
      <c r="J457" s="1" t="s">
        <v>781</v>
      </c>
      <c r="K457" s="1" t="s">
        <v>64</v>
      </c>
      <c r="L457" s="1" t="s">
        <v>43</v>
      </c>
      <c r="M457" s="1" t="s">
        <v>39</v>
      </c>
      <c r="N457" s="1" t="s">
        <v>650</v>
      </c>
      <c r="O457" s="1" t="s">
        <v>56</v>
      </c>
      <c r="P457">
        <v>49</v>
      </c>
      <c r="Q457" s="1">
        <v>1</v>
      </c>
      <c r="R457" s="1">
        <v>0</v>
      </c>
      <c r="S457" s="1">
        <v>1</v>
      </c>
      <c r="T457" s="1">
        <v>0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 t="s">
        <v>33</v>
      </c>
      <c r="AH457" s="1" t="str">
        <f t="shared" si="7"/>
        <v>Jr</v>
      </c>
      <c r="AI457" t="s">
        <v>34</v>
      </c>
      <c r="AJ457" s="4">
        <v>80.5</v>
      </c>
      <c r="AK457" s="1">
        <f>Table1[[#This Row],[avg_salary]]*1000</f>
        <v>80500</v>
      </c>
    </row>
    <row r="458" spans="1:37" x14ac:dyDescent="0.3">
      <c r="A458" s="1">
        <v>583</v>
      </c>
      <c r="B458" s="1" t="s">
        <v>28</v>
      </c>
      <c r="C458" s="1" t="s">
        <v>1055</v>
      </c>
      <c r="D458" s="4">
        <v>81000</v>
      </c>
      <c r="E458" s="4">
        <v>140000</v>
      </c>
      <c r="F458" s="4">
        <v>110500</v>
      </c>
      <c r="G458" s="1" t="s">
        <v>1183</v>
      </c>
      <c r="H458" t="s">
        <v>1183</v>
      </c>
      <c r="I458" s="1" t="s">
        <v>1184</v>
      </c>
      <c r="J458" s="1" t="s">
        <v>780</v>
      </c>
      <c r="K458" s="1" t="s">
        <v>89</v>
      </c>
      <c r="L458" s="1" t="s">
        <v>74</v>
      </c>
      <c r="M458" s="1" t="s">
        <v>54</v>
      </c>
      <c r="N458" s="1" t="s">
        <v>651</v>
      </c>
      <c r="O458" s="1" t="s">
        <v>56</v>
      </c>
      <c r="P458">
        <v>22</v>
      </c>
      <c r="Q458" s="1">
        <v>1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0</v>
      </c>
      <c r="X458" s="1">
        <v>0</v>
      </c>
      <c r="Y458" s="1">
        <v>0</v>
      </c>
      <c r="Z458" s="1">
        <v>1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 t="s">
        <v>33</v>
      </c>
      <c r="AH458" s="1" t="str">
        <f t="shared" si="7"/>
        <v>Jr</v>
      </c>
      <c r="AI458" t="s">
        <v>34</v>
      </c>
      <c r="AJ458" s="4">
        <v>110.5</v>
      </c>
      <c r="AK458" s="1">
        <f>Table1[[#This Row],[avg_salary]]*1000</f>
        <v>110500</v>
      </c>
    </row>
    <row r="459" spans="1:37" x14ac:dyDescent="0.3">
      <c r="A459" s="1">
        <v>585</v>
      </c>
      <c r="B459" s="1" t="s">
        <v>512</v>
      </c>
      <c r="C459" s="1" t="s">
        <v>1008</v>
      </c>
      <c r="D459" s="4">
        <v>80000</v>
      </c>
      <c r="E459" s="4">
        <v>148000</v>
      </c>
      <c r="F459" s="4">
        <v>114000</v>
      </c>
      <c r="G459" s="1" t="s">
        <v>1188</v>
      </c>
      <c r="H459" t="s">
        <v>1439</v>
      </c>
      <c r="I459" s="1" t="s">
        <v>1189</v>
      </c>
      <c r="J459" s="1" t="s">
        <v>780</v>
      </c>
      <c r="K459" s="1" t="s">
        <v>53</v>
      </c>
      <c r="L459" s="1" t="s">
        <v>43</v>
      </c>
      <c r="M459" s="1" t="s">
        <v>54</v>
      </c>
      <c r="N459" s="1" t="s">
        <v>55</v>
      </c>
      <c r="O459" s="1" t="s">
        <v>67</v>
      </c>
      <c r="P459">
        <v>55</v>
      </c>
      <c r="Q459" s="1">
        <v>1</v>
      </c>
      <c r="R459" s="1">
        <v>1</v>
      </c>
      <c r="S459" s="1">
        <v>0</v>
      </c>
      <c r="T459" s="1">
        <v>0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 t="s">
        <v>98</v>
      </c>
      <c r="AH459" s="1" t="str">
        <f t="shared" si="7"/>
        <v>Sr</v>
      </c>
      <c r="AI459" t="s">
        <v>34</v>
      </c>
      <c r="AJ459" s="4">
        <v>114</v>
      </c>
      <c r="AK459" s="1">
        <f>Table1[[#This Row],[avg_salary]]*1000</f>
        <v>114000</v>
      </c>
    </row>
    <row r="460" spans="1:37" x14ac:dyDescent="0.3">
      <c r="A460" s="1">
        <v>586</v>
      </c>
      <c r="B460" s="1" t="s">
        <v>28</v>
      </c>
      <c r="C460" s="1" t="s">
        <v>1024</v>
      </c>
      <c r="D460" s="4">
        <v>108000</v>
      </c>
      <c r="E460" s="4">
        <v>171000</v>
      </c>
      <c r="F460" s="4">
        <v>139500</v>
      </c>
      <c r="G460" s="1" t="s">
        <v>1382</v>
      </c>
      <c r="H460" t="s">
        <v>1439</v>
      </c>
      <c r="I460" s="1" t="s">
        <v>1189</v>
      </c>
      <c r="J460" s="1" t="s">
        <v>780</v>
      </c>
      <c r="K460" s="1" t="s">
        <v>652</v>
      </c>
      <c r="L460" s="1" t="s">
        <v>653</v>
      </c>
      <c r="M460" s="1" t="s">
        <v>201</v>
      </c>
      <c r="N460" s="1" t="s">
        <v>654</v>
      </c>
      <c r="O460" s="1" t="s">
        <v>67</v>
      </c>
      <c r="P460">
        <v>32</v>
      </c>
      <c r="Q460" s="1">
        <v>1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 t="s">
        <v>33</v>
      </c>
      <c r="AH460" s="1" t="str">
        <f t="shared" si="7"/>
        <v>Sr</v>
      </c>
      <c r="AI460" t="s">
        <v>34</v>
      </c>
      <c r="AJ460" s="4">
        <v>139.5</v>
      </c>
      <c r="AK460" s="1">
        <f>Table1[[#This Row],[avg_salary]]*1000</f>
        <v>139500</v>
      </c>
    </row>
    <row r="461" spans="1:37" x14ac:dyDescent="0.3">
      <c r="A461" s="1">
        <v>587</v>
      </c>
      <c r="B461" s="1" t="s">
        <v>28</v>
      </c>
      <c r="C461" s="1" t="s">
        <v>1089</v>
      </c>
      <c r="D461" s="4">
        <v>112000</v>
      </c>
      <c r="E461" s="4">
        <v>179000</v>
      </c>
      <c r="F461" s="4">
        <v>145500</v>
      </c>
      <c r="G461" s="1" t="s">
        <v>1183</v>
      </c>
      <c r="H461" t="s">
        <v>1183</v>
      </c>
      <c r="I461" s="1" t="s">
        <v>1184</v>
      </c>
      <c r="J461" s="1" t="s">
        <v>780</v>
      </c>
      <c r="K461" s="1" t="s">
        <v>143</v>
      </c>
      <c r="L461" s="1" t="s">
        <v>74</v>
      </c>
      <c r="M461" s="1" t="s">
        <v>54</v>
      </c>
      <c r="N461" s="1" t="s">
        <v>655</v>
      </c>
      <c r="O461" s="1" t="s">
        <v>56</v>
      </c>
      <c r="P461">
        <v>18</v>
      </c>
      <c r="Q461" s="1">
        <v>1</v>
      </c>
      <c r="R461" s="1">
        <v>0</v>
      </c>
      <c r="S461" s="1">
        <v>0</v>
      </c>
      <c r="T461" s="1">
        <v>1</v>
      </c>
      <c r="U461" s="1">
        <v>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 t="s">
        <v>33</v>
      </c>
      <c r="AH461" s="1" t="str">
        <f t="shared" si="7"/>
        <v>Sr</v>
      </c>
      <c r="AI461" t="s">
        <v>34</v>
      </c>
      <c r="AJ461" s="4">
        <v>145.5</v>
      </c>
      <c r="AK461" s="1">
        <f>Table1[[#This Row],[avg_salary]]*1000</f>
        <v>145500</v>
      </c>
    </row>
    <row r="462" spans="1:37" x14ac:dyDescent="0.3">
      <c r="A462" s="1">
        <v>588</v>
      </c>
      <c r="B462" s="1" t="s">
        <v>28</v>
      </c>
      <c r="C462" s="1" t="s">
        <v>1090</v>
      </c>
      <c r="D462" s="4">
        <v>63000</v>
      </c>
      <c r="E462" s="4">
        <v>111000</v>
      </c>
      <c r="F462" s="4">
        <v>87000</v>
      </c>
      <c r="G462" s="1" t="s">
        <v>1183</v>
      </c>
      <c r="H462" t="s">
        <v>1183</v>
      </c>
      <c r="I462" s="1" t="s">
        <v>1184</v>
      </c>
      <c r="J462" s="1" t="s">
        <v>780</v>
      </c>
      <c r="K462" s="1" t="s">
        <v>378</v>
      </c>
      <c r="L462" s="1" t="s">
        <v>62</v>
      </c>
      <c r="M462" s="1" t="s">
        <v>44</v>
      </c>
      <c r="N462" s="1" t="s">
        <v>656</v>
      </c>
      <c r="O462" s="1" t="s">
        <v>56</v>
      </c>
      <c r="P462">
        <v>29</v>
      </c>
      <c r="Q462" s="1">
        <v>0</v>
      </c>
      <c r="R462" s="1">
        <v>0</v>
      </c>
      <c r="S462" s="1">
        <v>0</v>
      </c>
      <c r="T462" s="1">
        <v>1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 t="s">
        <v>33</v>
      </c>
      <c r="AH462" s="1" t="str">
        <f t="shared" si="7"/>
        <v>Jr</v>
      </c>
      <c r="AI462" t="s">
        <v>72</v>
      </c>
      <c r="AJ462" s="4">
        <v>87</v>
      </c>
      <c r="AK462" s="1">
        <f>Table1[[#This Row],[avg_salary]]*1000</f>
        <v>87000</v>
      </c>
    </row>
    <row r="463" spans="1:37" x14ac:dyDescent="0.3">
      <c r="A463" s="1">
        <v>589</v>
      </c>
      <c r="B463" s="1" t="s">
        <v>28</v>
      </c>
      <c r="C463" s="1" t="s">
        <v>1091</v>
      </c>
      <c r="D463" s="4">
        <v>75000</v>
      </c>
      <c r="E463" s="4">
        <v>126000</v>
      </c>
      <c r="F463" s="4">
        <v>100500</v>
      </c>
      <c r="G463" s="1" t="s">
        <v>1383</v>
      </c>
      <c r="H463" t="s">
        <v>1441</v>
      </c>
      <c r="I463" s="1" t="s">
        <v>1196</v>
      </c>
      <c r="J463" s="1" t="s">
        <v>780</v>
      </c>
      <c r="K463" s="1" t="s">
        <v>61</v>
      </c>
      <c r="L463" s="1" t="s">
        <v>62</v>
      </c>
      <c r="M463" s="1" t="s">
        <v>30</v>
      </c>
      <c r="N463" s="1" t="s">
        <v>657</v>
      </c>
      <c r="O463" s="1" t="s">
        <v>91</v>
      </c>
      <c r="P463">
        <v>40</v>
      </c>
      <c r="Q463" s="1">
        <v>0</v>
      </c>
      <c r="R463" s="1">
        <v>0</v>
      </c>
      <c r="S463" s="1">
        <v>0</v>
      </c>
      <c r="T463" s="1">
        <v>1</v>
      </c>
      <c r="U463" s="1">
        <v>1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 t="s">
        <v>33</v>
      </c>
      <c r="AH463" s="1" t="str">
        <f t="shared" si="7"/>
        <v>Jr</v>
      </c>
      <c r="AI463" t="s">
        <v>34</v>
      </c>
      <c r="AJ463" s="4">
        <v>100.5</v>
      </c>
      <c r="AK463" s="1">
        <f>Table1[[#This Row],[avg_salary]]*1000</f>
        <v>100500</v>
      </c>
    </row>
    <row r="464" spans="1:37" x14ac:dyDescent="0.3">
      <c r="A464" s="1">
        <v>590</v>
      </c>
      <c r="B464" s="1" t="s">
        <v>658</v>
      </c>
      <c r="C464" s="1" t="s">
        <v>1092</v>
      </c>
      <c r="D464" s="4">
        <v>110000</v>
      </c>
      <c r="E464" s="4">
        <v>184000</v>
      </c>
      <c r="F464" s="4">
        <v>147000</v>
      </c>
      <c r="G464" s="1" t="s">
        <v>1183</v>
      </c>
      <c r="H464" t="s">
        <v>1183</v>
      </c>
      <c r="I464" s="1" t="s">
        <v>1184</v>
      </c>
      <c r="J464" s="1" t="s">
        <v>781</v>
      </c>
      <c r="K464" s="1" t="s">
        <v>103</v>
      </c>
      <c r="L464" s="1" t="s">
        <v>74</v>
      </c>
      <c r="M464" s="1" t="s">
        <v>84</v>
      </c>
      <c r="N464" s="1" t="s">
        <v>659</v>
      </c>
      <c r="O464" s="1" t="s">
        <v>56</v>
      </c>
      <c r="P464">
        <v>56</v>
      </c>
      <c r="Q464" s="1">
        <v>1</v>
      </c>
      <c r="R464" s="1">
        <v>1</v>
      </c>
      <c r="S464" s="1">
        <v>0</v>
      </c>
      <c r="T464" s="1">
        <v>1</v>
      </c>
      <c r="U464" s="1">
        <v>1</v>
      </c>
      <c r="V464" s="1">
        <v>1</v>
      </c>
      <c r="W464" s="1">
        <v>0</v>
      </c>
      <c r="X464" s="1">
        <v>0</v>
      </c>
      <c r="Y464" s="1">
        <v>1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1</v>
      </c>
      <c r="AF464" s="1">
        <v>0</v>
      </c>
      <c r="AG464" s="1" t="s">
        <v>33</v>
      </c>
      <c r="AH464" s="1" t="str">
        <f t="shared" si="7"/>
        <v>Sr</v>
      </c>
      <c r="AI464" t="s">
        <v>34</v>
      </c>
      <c r="AJ464" s="4">
        <v>147</v>
      </c>
      <c r="AK464" s="1">
        <f>Table1[[#This Row],[avg_salary]]*1000</f>
        <v>147000</v>
      </c>
    </row>
    <row r="465" spans="1:37" x14ac:dyDescent="0.3">
      <c r="A465" s="1">
        <v>591</v>
      </c>
      <c r="B465" s="1" t="s">
        <v>150</v>
      </c>
      <c r="C465" s="1" t="s">
        <v>1093</v>
      </c>
      <c r="D465" s="4">
        <v>76000</v>
      </c>
      <c r="E465" s="4">
        <v>145000</v>
      </c>
      <c r="F465" s="4">
        <v>110500</v>
      </c>
      <c r="G465" s="1" t="s">
        <v>1183</v>
      </c>
      <c r="H465" t="s">
        <v>1183</v>
      </c>
      <c r="I465" s="1" t="s">
        <v>1184</v>
      </c>
      <c r="J465" s="1" t="s">
        <v>780</v>
      </c>
      <c r="K465" s="1" t="s">
        <v>108</v>
      </c>
      <c r="L465" s="1" t="s">
        <v>109</v>
      </c>
      <c r="M465" s="1" t="s">
        <v>44</v>
      </c>
      <c r="N465" s="1" t="s">
        <v>660</v>
      </c>
      <c r="O465" s="1" t="s">
        <v>56</v>
      </c>
      <c r="P465">
        <v>60</v>
      </c>
      <c r="Q465" s="1">
        <v>1</v>
      </c>
      <c r="R465" s="1">
        <v>0</v>
      </c>
      <c r="S465" s="1">
        <v>0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 t="s">
        <v>98</v>
      </c>
      <c r="AH465" s="1" t="str">
        <f t="shared" si="7"/>
        <v>Jr</v>
      </c>
      <c r="AI465" t="s">
        <v>34</v>
      </c>
      <c r="AJ465" s="4">
        <v>110.5</v>
      </c>
      <c r="AK465" s="1">
        <f>Table1[[#This Row],[avg_salary]]*1000</f>
        <v>110500</v>
      </c>
    </row>
    <row r="466" spans="1:37" x14ac:dyDescent="0.3">
      <c r="A466" s="1">
        <v>594</v>
      </c>
      <c r="B466" s="1" t="s">
        <v>400</v>
      </c>
      <c r="C466" s="1" t="s">
        <v>1009</v>
      </c>
      <c r="D466" s="4">
        <v>36000</v>
      </c>
      <c r="E466" s="4">
        <v>62000</v>
      </c>
      <c r="F466" s="4">
        <v>49000</v>
      </c>
      <c r="G466" s="1" t="s">
        <v>1349</v>
      </c>
      <c r="H466" t="s">
        <v>1453</v>
      </c>
      <c r="I466" s="1" t="s">
        <v>1241</v>
      </c>
      <c r="J466" s="1" t="s">
        <v>107</v>
      </c>
      <c r="K466" s="1" t="s">
        <v>61</v>
      </c>
      <c r="L466" s="1" t="s">
        <v>62</v>
      </c>
      <c r="M466" s="1" t="s">
        <v>54</v>
      </c>
      <c r="N466" s="1" t="s">
        <v>513</v>
      </c>
      <c r="O466" s="1" t="s">
        <v>194</v>
      </c>
      <c r="P466">
        <v>38</v>
      </c>
      <c r="Q466" s="1">
        <v>1</v>
      </c>
      <c r="R466" s="1">
        <v>0</v>
      </c>
      <c r="S466" s="1">
        <v>0</v>
      </c>
      <c r="T466" s="1">
        <v>0</v>
      </c>
      <c r="U466" s="1">
        <v>1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</v>
      </c>
      <c r="AC466" s="1">
        <v>1</v>
      </c>
      <c r="AD466" s="1">
        <v>0</v>
      </c>
      <c r="AE466" s="1">
        <v>0</v>
      </c>
      <c r="AF466" s="1">
        <v>0</v>
      </c>
      <c r="AG466" s="1" t="s">
        <v>88</v>
      </c>
      <c r="AH466" s="1" t="str">
        <f t="shared" si="7"/>
        <v>Jr</v>
      </c>
      <c r="AI466" t="s">
        <v>34</v>
      </c>
      <c r="AJ466" s="4">
        <v>49</v>
      </c>
      <c r="AK466" s="1">
        <f>Table1[[#This Row],[avg_salary]]*1000</f>
        <v>49000</v>
      </c>
    </row>
    <row r="467" spans="1:37" x14ac:dyDescent="0.3">
      <c r="A467" s="1">
        <v>595</v>
      </c>
      <c r="B467" s="1" t="s">
        <v>28</v>
      </c>
      <c r="C467" s="1" t="s">
        <v>1094</v>
      </c>
      <c r="D467" s="4">
        <v>70000</v>
      </c>
      <c r="E467" s="4">
        <v>118000</v>
      </c>
      <c r="F467" s="4">
        <v>94000</v>
      </c>
      <c r="G467" s="1" t="s">
        <v>1384</v>
      </c>
      <c r="H467" t="s">
        <v>1441</v>
      </c>
      <c r="I467" s="1" t="s">
        <v>1196</v>
      </c>
      <c r="J467" s="1" t="s">
        <v>780</v>
      </c>
      <c r="K467" s="1" t="s">
        <v>64</v>
      </c>
      <c r="L467" s="1" t="s">
        <v>43</v>
      </c>
      <c r="M467" s="1" t="s">
        <v>201</v>
      </c>
      <c r="N467" s="1" t="s">
        <v>661</v>
      </c>
      <c r="O467" s="1" t="s">
        <v>91</v>
      </c>
      <c r="P467">
        <v>24</v>
      </c>
      <c r="Q467" s="1">
        <v>1</v>
      </c>
      <c r="R467" s="1">
        <v>1</v>
      </c>
      <c r="S467" s="1">
        <v>1</v>
      </c>
      <c r="T467" s="1">
        <v>0</v>
      </c>
      <c r="U467" s="1">
        <v>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1</v>
      </c>
      <c r="AB467" s="1">
        <v>1</v>
      </c>
      <c r="AC467" s="1">
        <v>1</v>
      </c>
      <c r="AD467" s="1">
        <v>0</v>
      </c>
      <c r="AE467" s="1">
        <v>0</v>
      </c>
      <c r="AF467" s="1">
        <v>0</v>
      </c>
      <c r="AG467" s="1" t="s">
        <v>33</v>
      </c>
      <c r="AH467" s="1" t="str">
        <f t="shared" si="7"/>
        <v>Jr</v>
      </c>
      <c r="AI467" t="s">
        <v>34</v>
      </c>
      <c r="AJ467" s="4">
        <v>94</v>
      </c>
      <c r="AK467" s="1">
        <f>Table1[[#This Row],[avg_salary]]*1000</f>
        <v>94000</v>
      </c>
    </row>
    <row r="468" spans="1:37" x14ac:dyDescent="0.3">
      <c r="A468" s="1">
        <v>597</v>
      </c>
      <c r="B468" s="1" t="s">
        <v>148</v>
      </c>
      <c r="C468" s="1" t="s">
        <v>1095</v>
      </c>
      <c r="D468" s="4">
        <v>94000</v>
      </c>
      <c r="E468" s="4">
        <v>153000</v>
      </c>
      <c r="F468" s="4">
        <v>123500</v>
      </c>
      <c r="G468" s="1" t="s">
        <v>1183</v>
      </c>
      <c r="H468" t="s">
        <v>1183</v>
      </c>
      <c r="I468" s="1" t="s">
        <v>1184</v>
      </c>
      <c r="J468" s="1" t="s">
        <v>781</v>
      </c>
      <c r="K468" s="1" t="s">
        <v>103</v>
      </c>
      <c r="L468" s="1" t="s">
        <v>74</v>
      </c>
      <c r="M468" s="1" t="s">
        <v>50</v>
      </c>
      <c r="N468" s="1" t="s">
        <v>662</v>
      </c>
      <c r="O468" s="1" t="s">
        <v>56</v>
      </c>
      <c r="P468">
        <v>35</v>
      </c>
      <c r="Q468" s="1">
        <v>1</v>
      </c>
      <c r="R468" s="1">
        <v>0</v>
      </c>
      <c r="S468" s="1">
        <v>1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 t="s">
        <v>33</v>
      </c>
      <c r="AH468" s="1" t="str">
        <f t="shared" si="7"/>
        <v>Sr</v>
      </c>
      <c r="AI468" t="s">
        <v>34</v>
      </c>
      <c r="AJ468" s="4">
        <v>123.5</v>
      </c>
      <c r="AK468" s="1">
        <f>Table1[[#This Row],[avg_salary]]*1000</f>
        <v>123500</v>
      </c>
    </row>
    <row r="469" spans="1:37" x14ac:dyDescent="0.3">
      <c r="A469" s="1">
        <v>599</v>
      </c>
      <c r="B469" s="1" t="s">
        <v>397</v>
      </c>
      <c r="C469" s="1" t="s">
        <v>938</v>
      </c>
      <c r="D469" s="4">
        <v>54000</v>
      </c>
      <c r="E469" s="4">
        <v>115000</v>
      </c>
      <c r="F469" s="4">
        <v>84500</v>
      </c>
      <c r="G469" s="1" t="s">
        <v>1190</v>
      </c>
      <c r="H469" t="s">
        <v>1183</v>
      </c>
      <c r="I469" s="1" t="s">
        <v>1184</v>
      </c>
      <c r="J469" s="1" t="s">
        <v>69</v>
      </c>
      <c r="K469" s="1" t="s">
        <v>37</v>
      </c>
      <c r="L469" s="1" t="s">
        <v>38</v>
      </c>
      <c r="M469" s="1" t="s">
        <v>50</v>
      </c>
      <c r="N469" s="1" t="s">
        <v>70</v>
      </c>
      <c r="O469" s="1" t="s">
        <v>56</v>
      </c>
      <c r="P469">
        <v>18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 t="s">
        <v>71</v>
      </c>
      <c r="AH469" s="1" t="str">
        <f t="shared" si="7"/>
        <v>Jr</v>
      </c>
      <c r="AI469" t="s">
        <v>72</v>
      </c>
      <c r="AJ469" s="4">
        <v>84.5</v>
      </c>
      <c r="AK469" s="1">
        <f>Table1[[#This Row],[avg_salary]]*1000</f>
        <v>84500</v>
      </c>
    </row>
    <row r="470" spans="1:37" x14ac:dyDescent="0.3">
      <c r="A470" s="1">
        <v>600</v>
      </c>
      <c r="B470" s="1" t="s">
        <v>86</v>
      </c>
      <c r="C470" s="1" t="s">
        <v>1010</v>
      </c>
      <c r="D470" s="4">
        <v>50000</v>
      </c>
      <c r="E470" s="4">
        <v>92000</v>
      </c>
      <c r="F470" s="4">
        <v>71000</v>
      </c>
      <c r="G470" s="1" t="s">
        <v>1350</v>
      </c>
      <c r="H470" t="s">
        <v>1440</v>
      </c>
      <c r="I470" s="1" t="s">
        <v>1192</v>
      </c>
      <c r="J470" s="1" t="s">
        <v>780</v>
      </c>
      <c r="K470" s="1" t="s">
        <v>143</v>
      </c>
      <c r="L470" s="1" t="s">
        <v>74</v>
      </c>
      <c r="M470" s="1" t="s">
        <v>44</v>
      </c>
      <c r="N470" s="1" t="s">
        <v>514</v>
      </c>
      <c r="O470" s="1" t="s">
        <v>81</v>
      </c>
      <c r="P470">
        <v>48</v>
      </c>
      <c r="Q470" s="1">
        <v>0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1</v>
      </c>
      <c r="AC470" s="1">
        <v>1</v>
      </c>
      <c r="AD470" s="1">
        <v>0</v>
      </c>
      <c r="AE470" s="1">
        <v>0</v>
      </c>
      <c r="AF470" s="1">
        <v>0</v>
      </c>
      <c r="AG470" s="1" t="s">
        <v>88</v>
      </c>
      <c r="AH470" s="1" t="str">
        <f t="shared" si="7"/>
        <v>Jr</v>
      </c>
      <c r="AI470" t="s">
        <v>34</v>
      </c>
      <c r="AJ470" s="4">
        <v>71</v>
      </c>
      <c r="AK470" s="1">
        <f>Table1[[#This Row],[avg_salary]]*1000</f>
        <v>71000</v>
      </c>
    </row>
    <row r="471" spans="1:37" x14ac:dyDescent="0.3">
      <c r="A471" s="1">
        <v>601</v>
      </c>
      <c r="B471" s="1" t="s">
        <v>663</v>
      </c>
      <c r="C471" s="1" t="s">
        <v>1027</v>
      </c>
      <c r="D471" s="4">
        <v>49000</v>
      </c>
      <c r="E471" s="4">
        <v>97000</v>
      </c>
      <c r="F471" s="4">
        <v>73000</v>
      </c>
      <c r="G471" s="1" t="s">
        <v>1385</v>
      </c>
      <c r="H471" t="s">
        <v>1446</v>
      </c>
      <c r="I471" s="1" t="s">
        <v>1209</v>
      </c>
      <c r="J471" s="1" t="s">
        <v>781</v>
      </c>
      <c r="K471" s="1" t="s">
        <v>145</v>
      </c>
      <c r="L471" s="1" t="s">
        <v>74</v>
      </c>
      <c r="M471" s="1" t="s">
        <v>54</v>
      </c>
      <c r="N471" s="1" t="s">
        <v>204</v>
      </c>
      <c r="O471" s="1" t="s">
        <v>128</v>
      </c>
      <c r="P471">
        <v>21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 t="s">
        <v>98</v>
      </c>
      <c r="AH471" s="1" t="str">
        <f t="shared" si="7"/>
        <v>Jr</v>
      </c>
      <c r="AI471" t="s">
        <v>34</v>
      </c>
      <c r="AJ471" s="4">
        <v>73</v>
      </c>
      <c r="AK471" s="1">
        <f>Table1[[#This Row],[avg_salary]]*1000</f>
        <v>73000</v>
      </c>
    </row>
    <row r="472" spans="1:37" x14ac:dyDescent="0.3">
      <c r="A472" s="1">
        <v>602</v>
      </c>
      <c r="B472" s="1" t="s">
        <v>515</v>
      </c>
      <c r="C472" s="1" t="s">
        <v>1011</v>
      </c>
      <c r="D472" s="4">
        <v>67000</v>
      </c>
      <c r="E472" s="4">
        <v>135000</v>
      </c>
      <c r="F472" s="4">
        <v>101000</v>
      </c>
      <c r="G472" s="1" t="s">
        <v>1231</v>
      </c>
      <c r="H472" t="s">
        <v>1441</v>
      </c>
      <c r="I472" s="1" t="s">
        <v>1196</v>
      </c>
      <c r="J472" s="1" t="s">
        <v>780</v>
      </c>
      <c r="K472" s="1" t="s">
        <v>108</v>
      </c>
      <c r="L472" s="1" t="s">
        <v>109</v>
      </c>
      <c r="M472" s="1" t="s">
        <v>84</v>
      </c>
      <c r="N472" s="1" t="s">
        <v>338</v>
      </c>
      <c r="O472" s="1" t="s">
        <v>91</v>
      </c>
      <c r="P472">
        <v>43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 t="s">
        <v>516</v>
      </c>
      <c r="AH472" s="1" t="str">
        <f t="shared" si="7"/>
        <v>Jr</v>
      </c>
      <c r="AI472" t="s">
        <v>72</v>
      </c>
      <c r="AJ472" s="4">
        <v>101</v>
      </c>
      <c r="AK472" s="1">
        <f>Table1[[#This Row],[avg_salary]]*1000</f>
        <v>101000</v>
      </c>
    </row>
    <row r="473" spans="1:37" x14ac:dyDescent="0.3">
      <c r="A473" s="1">
        <v>603</v>
      </c>
      <c r="B473" s="1" t="s">
        <v>395</v>
      </c>
      <c r="C473" s="1" t="s">
        <v>941</v>
      </c>
      <c r="D473" s="4">
        <v>138000</v>
      </c>
      <c r="E473" s="4">
        <v>224000</v>
      </c>
      <c r="F473" s="4">
        <v>181000</v>
      </c>
      <c r="G473" s="1" t="s">
        <v>1200</v>
      </c>
      <c r="H473" t="s">
        <v>1439</v>
      </c>
      <c r="I473" s="1" t="s">
        <v>1189</v>
      </c>
      <c r="J473" s="1" t="s">
        <v>780</v>
      </c>
      <c r="K473" s="1" t="s">
        <v>73</v>
      </c>
      <c r="L473" s="1" t="s">
        <v>74</v>
      </c>
      <c r="M473" s="1" t="s">
        <v>121</v>
      </c>
      <c r="N473" s="1" t="s">
        <v>396</v>
      </c>
      <c r="O473" s="1" t="s">
        <v>67</v>
      </c>
      <c r="P473">
        <v>56</v>
      </c>
      <c r="Q473" s="1">
        <v>1</v>
      </c>
      <c r="R473" s="1">
        <v>1</v>
      </c>
      <c r="S473" s="1">
        <v>0</v>
      </c>
      <c r="T473" s="1">
        <v>0</v>
      </c>
      <c r="U473" s="1">
        <v>1</v>
      </c>
      <c r="V473" s="1">
        <v>0</v>
      </c>
      <c r="W473" s="1">
        <v>0</v>
      </c>
      <c r="X473" s="1">
        <v>0</v>
      </c>
      <c r="Y473" s="1">
        <v>1</v>
      </c>
      <c r="Z473" s="1">
        <v>1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 t="s">
        <v>306</v>
      </c>
      <c r="AH473" s="1" t="str">
        <f t="shared" si="7"/>
        <v>Sr</v>
      </c>
      <c r="AI473" t="s">
        <v>34</v>
      </c>
      <c r="AJ473" s="4">
        <v>181</v>
      </c>
      <c r="AK473" s="1">
        <f>Table1[[#This Row],[avg_salary]]*1000</f>
        <v>181000</v>
      </c>
    </row>
    <row r="474" spans="1:37" x14ac:dyDescent="0.3">
      <c r="A474" s="1">
        <v>604</v>
      </c>
      <c r="B474" s="1" t="s">
        <v>28</v>
      </c>
      <c r="C474" s="1" t="s">
        <v>828</v>
      </c>
      <c r="D474" s="4">
        <v>80000</v>
      </c>
      <c r="E474" s="4">
        <v>139000</v>
      </c>
      <c r="F474" s="4">
        <v>109500</v>
      </c>
      <c r="G474" s="1" t="s">
        <v>1235</v>
      </c>
      <c r="H474" t="s">
        <v>1439</v>
      </c>
      <c r="I474" s="1" t="s">
        <v>1189</v>
      </c>
      <c r="J474" s="1" t="s">
        <v>781</v>
      </c>
      <c r="K474" s="1" t="s">
        <v>29</v>
      </c>
      <c r="L474" s="1" t="s">
        <v>29</v>
      </c>
      <c r="M474" s="1" t="s">
        <v>84</v>
      </c>
      <c r="N474" s="1" t="s">
        <v>179</v>
      </c>
      <c r="O474" s="1" t="s">
        <v>67</v>
      </c>
      <c r="P474">
        <v>54</v>
      </c>
      <c r="Q474" s="1">
        <v>0</v>
      </c>
      <c r="R474" s="1">
        <v>0</v>
      </c>
      <c r="S474" s="1">
        <v>0</v>
      </c>
      <c r="T474" s="1">
        <v>1</v>
      </c>
      <c r="U474" s="1">
        <v>1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</v>
      </c>
      <c r="AC474" s="1">
        <v>0</v>
      </c>
      <c r="AD474" s="1">
        <v>0</v>
      </c>
      <c r="AE474" s="1">
        <v>0</v>
      </c>
      <c r="AF474" s="1">
        <v>0</v>
      </c>
      <c r="AG474" s="1" t="s">
        <v>33</v>
      </c>
      <c r="AH474" s="1" t="str">
        <f t="shared" si="7"/>
        <v>Jr</v>
      </c>
      <c r="AI474" t="s">
        <v>72</v>
      </c>
      <c r="AJ474" s="4">
        <v>109.5</v>
      </c>
      <c r="AK474" s="1">
        <f>Table1[[#This Row],[avg_salary]]*1000</f>
        <v>109500</v>
      </c>
    </row>
    <row r="475" spans="1:37" x14ac:dyDescent="0.3">
      <c r="A475" s="1">
        <v>605</v>
      </c>
      <c r="B475" s="1" t="s">
        <v>163</v>
      </c>
      <c r="C475" s="1" t="s">
        <v>821</v>
      </c>
      <c r="D475" s="4">
        <v>158000</v>
      </c>
      <c r="E475" s="4">
        <v>211000</v>
      </c>
      <c r="F475" s="4">
        <v>184500</v>
      </c>
      <c r="G475" s="1" t="s">
        <v>1225</v>
      </c>
      <c r="H475" t="s">
        <v>1223</v>
      </c>
      <c r="I475" s="1" t="s">
        <v>1182</v>
      </c>
      <c r="J475" s="1" t="s">
        <v>781</v>
      </c>
      <c r="K475" s="1" t="s">
        <v>143</v>
      </c>
      <c r="L475" s="1" t="s">
        <v>74</v>
      </c>
      <c r="M475" s="1" t="s">
        <v>84</v>
      </c>
      <c r="N475" s="1" t="s">
        <v>164</v>
      </c>
      <c r="O475" s="1" t="s">
        <v>52</v>
      </c>
      <c r="P475">
        <v>54</v>
      </c>
      <c r="Q475" s="1">
        <v>1</v>
      </c>
      <c r="R475" s="1">
        <v>0</v>
      </c>
      <c r="S475" s="1">
        <v>0</v>
      </c>
      <c r="T475" s="1">
        <v>1</v>
      </c>
      <c r="U475" s="1">
        <v>1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 t="s">
        <v>33</v>
      </c>
      <c r="AH475" s="1" t="str">
        <f t="shared" si="7"/>
        <v>Sr</v>
      </c>
      <c r="AI475" t="s">
        <v>34</v>
      </c>
      <c r="AJ475" s="4">
        <v>184.5</v>
      </c>
      <c r="AK475" s="1">
        <f>Table1[[#This Row],[avg_salary]]*1000</f>
        <v>184500</v>
      </c>
    </row>
    <row r="476" spans="1:37" x14ac:dyDescent="0.3">
      <c r="A476" s="1">
        <v>606</v>
      </c>
      <c r="B476" s="1" t="s">
        <v>664</v>
      </c>
      <c r="C476" s="1" t="s">
        <v>1096</v>
      </c>
      <c r="D476" s="4">
        <v>150000</v>
      </c>
      <c r="E476" s="4">
        <v>180000</v>
      </c>
      <c r="F476" s="4">
        <v>165000</v>
      </c>
      <c r="G476" s="1" t="s">
        <v>1183</v>
      </c>
      <c r="H476" t="s">
        <v>1183</v>
      </c>
      <c r="I476" s="1" t="s">
        <v>1184</v>
      </c>
      <c r="J476" s="1" t="s">
        <v>780</v>
      </c>
      <c r="K476" s="1" t="s">
        <v>103</v>
      </c>
      <c r="L476" s="1" t="s">
        <v>74</v>
      </c>
      <c r="M476" s="1" t="s">
        <v>54</v>
      </c>
      <c r="N476" s="1" t="s">
        <v>665</v>
      </c>
      <c r="O476" s="1" t="s">
        <v>56</v>
      </c>
      <c r="P476">
        <v>35</v>
      </c>
      <c r="Q476" s="1">
        <v>1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1</v>
      </c>
      <c r="Z476" s="1">
        <v>0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 t="s">
        <v>33</v>
      </c>
      <c r="AH476" s="1" t="str">
        <f t="shared" si="7"/>
        <v>Sr</v>
      </c>
      <c r="AI476" t="s">
        <v>34</v>
      </c>
      <c r="AJ476" s="4">
        <v>165</v>
      </c>
      <c r="AK476" s="1">
        <f>Table1[[#This Row],[avg_salary]]*1000</f>
        <v>165000</v>
      </c>
    </row>
    <row r="477" spans="1:37" x14ac:dyDescent="0.3">
      <c r="A477" s="1">
        <v>607</v>
      </c>
      <c r="B477" s="1" t="s">
        <v>475</v>
      </c>
      <c r="C477" s="1" t="s">
        <v>1012</v>
      </c>
      <c r="D477" s="4">
        <v>42000</v>
      </c>
      <c r="E477" s="4">
        <v>80000</v>
      </c>
      <c r="F477" s="4">
        <v>61000</v>
      </c>
      <c r="G477" s="1" t="s">
        <v>1203</v>
      </c>
      <c r="H477" t="s">
        <v>1444</v>
      </c>
      <c r="I477" s="1" t="s">
        <v>1204</v>
      </c>
      <c r="J477" s="1" t="s">
        <v>781</v>
      </c>
      <c r="K477" s="1" t="s">
        <v>145</v>
      </c>
      <c r="L477" s="1" t="s">
        <v>74</v>
      </c>
      <c r="M477" s="1" t="s">
        <v>130</v>
      </c>
      <c r="N477" s="1" t="s">
        <v>517</v>
      </c>
      <c r="O477" s="1" t="s">
        <v>120</v>
      </c>
      <c r="P477">
        <v>39</v>
      </c>
      <c r="Q477" s="1">
        <v>1</v>
      </c>
      <c r="R477" s="1">
        <v>1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 t="s">
        <v>88</v>
      </c>
      <c r="AH477" s="1" t="str">
        <f t="shared" si="7"/>
        <v>Jr</v>
      </c>
      <c r="AI477" t="s">
        <v>34</v>
      </c>
      <c r="AJ477" s="4">
        <v>61</v>
      </c>
      <c r="AK477" s="1">
        <f>Table1[[#This Row],[avg_salary]]*1000</f>
        <v>61000</v>
      </c>
    </row>
    <row r="478" spans="1:37" x14ac:dyDescent="0.3">
      <c r="A478" s="1">
        <v>608</v>
      </c>
      <c r="B478" s="1" t="s">
        <v>398</v>
      </c>
      <c r="C478" s="1" t="s">
        <v>1411</v>
      </c>
      <c r="D478" s="4">
        <v>190000</v>
      </c>
      <c r="E478" s="4">
        <v>220000</v>
      </c>
      <c r="F478" s="4">
        <v>205000</v>
      </c>
      <c r="G478" s="1" t="s">
        <v>1199</v>
      </c>
      <c r="H478" t="s">
        <v>1439</v>
      </c>
      <c r="I478" s="1" t="s">
        <v>1189</v>
      </c>
      <c r="J478" s="1" t="s">
        <v>780</v>
      </c>
      <c r="K478" s="1" t="s">
        <v>73</v>
      </c>
      <c r="L478" s="1" t="s">
        <v>74</v>
      </c>
      <c r="M478" s="1" t="s">
        <v>30</v>
      </c>
      <c r="N478" s="1" t="s">
        <v>399</v>
      </c>
      <c r="O478" s="1" t="s">
        <v>67</v>
      </c>
      <c r="P478">
        <v>41</v>
      </c>
      <c r="Q478" s="1">
        <v>1</v>
      </c>
      <c r="R478" s="1">
        <v>1</v>
      </c>
      <c r="S478" s="1">
        <v>1</v>
      </c>
      <c r="T478" s="1">
        <v>0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 t="s">
        <v>98</v>
      </c>
      <c r="AH478" s="1" t="str">
        <f t="shared" si="7"/>
        <v>Sr</v>
      </c>
      <c r="AI478" t="s">
        <v>34</v>
      </c>
      <c r="AJ478" s="4">
        <v>205</v>
      </c>
      <c r="AK478" s="1">
        <f>Table1[[#This Row],[avg_salary]]*1000</f>
        <v>205000</v>
      </c>
    </row>
    <row r="479" spans="1:37" x14ac:dyDescent="0.3">
      <c r="A479" s="1">
        <v>609</v>
      </c>
      <c r="B479" s="1" t="s">
        <v>86</v>
      </c>
      <c r="C479" s="1" t="s">
        <v>1097</v>
      </c>
      <c r="D479" s="4">
        <v>42000</v>
      </c>
      <c r="E479" s="4">
        <v>77000</v>
      </c>
      <c r="F479" s="4">
        <v>59500</v>
      </c>
      <c r="G479" s="1" t="s">
        <v>1183</v>
      </c>
      <c r="H479" t="s">
        <v>1183</v>
      </c>
      <c r="I479" s="1" t="s">
        <v>1184</v>
      </c>
      <c r="J479" s="1" t="s">
        <v>666</v>
      </c>
      <c r="K479" s="1" t="s">
        <v>1481</v>
      </c>
      <c r="L479" s="1" t="s">
        <v>255</v>
      </c>
      <c r="M479" s="1" t="s">
        <v>44</v>
      </c>
      <c r="N479" s="1" t="s">
        <v>667</v>
      </c>
      <c r="O479" s="1" t="s">
        <v>56</v>
      </c>
      <c r="P479">
        <v>49</v>
      </c>
      <c r="Q479" s="1">
        <v>1</v>
      </c>
      <c r="R479" s="1">
        <v>0</v>
      </c>
      <c r="S479" s="1">
        <v>0</v>
      </c>
      <c r="T479" s="1">
        <v>1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 t="s">
        <v>88</v>
      </c>
      <c r="AH479" s="1" t="str">
        <f t="shared" si="7"/>
        <v>Jr</v>
      </c>
      <c r="AI479" t="s">
        <v>34</v>
      </c>
      <c r="AJ479" s="4">
        <v>59.5</v>
      </c>
      <c r="AK479" s="1">
        <f>Table1[[#This Row],[avg_salary]]*1000</f>
        <v>59500</v>
      </c>
    </row>
    <row r="480" spans="1:37" x14ac:dyDescent="0.3">
      <c r="A480" s="1">
        <v>610</v>
      </c>
      <c r="B480" s="1" t="s">
        <v>518</v>
      </c>
      <c r="C480" s="1" t="s">
        <v>1013</v>
      </c>
      <c r="D480" s="4">
        <v>68000</v>
      </c>
      <c r="E480" s="4">
        <v>139000</v>
      </c>
      <c r="F480" s="4">
        <v>103500</v>
      </c>
      <c r="G480" s="1" t="s">
        <v>1351</v>
      </c>
      <c r="H480" t="s">
        <v>1445</v>
      </c>
      <c r="I480" s="1" t="s">
        <v>1206</v>
      </c>
      <c r="J480" s="1" t="s">
        <v>780</v>
      </c>
      <c r="K480" s="1" t="s">
        <v>157</v>
      </c>
      <c r="L480" s="1" t="s">
        <v>158</v>
      </c>
      <c r="M480" s="1" t="s">
        <v>84</v>
      </c>
      <c r="N480" s="1" t="s">
        <v>519</v>
      </c>
      <c r="O480" s="1" t="s">
        <v>123</v>
      </c>
      <c r="P480">
        <v>32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 t="s">
        <v>71</v>
      </c>
      <c r="AH480" s="1" t="str">
        <f t="shared" si="7"/>
        <v>Jr</v>
      </c>
      <c r="AI480" t="s">
        <v>72</v>
      </c>
      <c r="AJ480" s="4">
        <v>103.5</v>
      </c>
      <c r="AK480" s="1">
        <f>Table1[[#This Row],[avg_salary]]*1000</f>
        <v>103500</v>
      </c>
    </row>
    <row r="481" spans="1:37" x14ac:dyDescent="0.3">
      <c r="A481" s="1">
        <v>613</v>
      </c>
      <c r="B481" s="1" t="s">
        <v>521</v>
      </c>
      <c r="C481" s="1" t="s">
        <v>1015</v>
      </c>
      <c r="D481" s="4">
        <v>54000</v>
      </c>
      <c r="E481" s="4">
        <v>71000</v>
      </c>
      <c r="F481" s="4">
        <v>62500</v>
      </c>
      <c r="G481" s="1" t="s">
        <v>1352</v>
      </c>
      <c r="H481" t="s">
        <v>1447</v>
      </c>
      <c r="I481" s="1" t="s">
        <v>1212</v>
      </c>
      <c r="J481" s="1" t="s">
        <v>781</v>
      </c>
      <c r="K481" s="1" t="s">
        <v>143</v>
      </c>
      <c r="L481" s="1" t="s">
        <v>74</v>
      </c>
      <c r="M481" s="1" t="s">
        <v>84</v>
      </c>
      <c r="N481" s="1" t="s">
        <v>522</v>
      </c>
      <c r="O481" s="1" t="s">
        <v>133</v>
      </c>
      <c r="P481">
        <v>58</v>
      </c>
      <c r="Q481" s="1">
        <v>0</v>
      </c>
      <c r="R481" s="1">
        <v>0</v>
      </c>
      <c r="S481" s="1">
        <v>0</v>
      </c>
      <c r="T481" s="1">
        <v>1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 t="s">
        <v>208</v>
      </c>
      <c r="AH481" s="1" t="str">
        <f t="shared" si="7"/>
        <v>Jr</v>
      </c>
      <c r="AI481" t="s">
        <v>34</v>
      </c>
      <c r="AJ481" s="4">
        <v>62.5</v>
      </c>
      <c r="AK481" s="1">
        <f>Table1[[#This Row],[avg_salary]]*1000</f>
        <v>62500</v>
      </c>
    </row>
    <row r="482" spans="1:37" x14ac:dyDescent="0.3">
      <c r="A482" s="1">
        <v>614</v>
      </c>
      <c r="B482" s="1" t="s">
        <v>520</v>
      </c>
      <c r="C482" s="1" t="s">
        <v>1014</v>
      </c>
      <c r="D482" s="4">
        <v>34000</v>
      </c>
      <c r="E482" s="4">
        <v>92000</v>
      </c>
      <c r="F482" s="4">
        <v>63000</v>
      </c>
      <c r="G482" s="1" t="s">
        <v>1309</v>
      </c>
      <c r="H482" t="s">
        <v>1441</v>
      </c>
      <c r="I482" s="1" t="s">
        <v>1196</v>
      </c>
      <c r="J482" s="1" t="s">
        <v>780</v>
      </c>
      <c r="K482" s="1" t="s">
        <v>108</v>
      </c>
      <c r="L482" s="1" t="s">
        <v>109</v>
      </c>
      <c r="M482" s="1" t="s">
        <v>84</v>
      </c>
      <c r="N482" s="1" t="s">
        <v>338</v>
      </c>
      <c r="O482" s="1" t="s">
        <v>91</v>
      </c>
      <c r="P482">
        <v>56</v>
      </c>
      <c r="Q482" s="1">
        <v>0</v>
      </c>
      <c r="R482" s="1">
        <v>0</v>
      </c>
      <c r="S482" s="1">
        <v>0</v>
      </c>
      <c r="T482" s="1">
        <v>1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 t="s">
        <v>295</v>
      </c>
      <c r="AH482" s="1" t="str">
        <f t="shared" si="7"/>
        <v>Jr</v>
      </c>
      <c r="AI482" t="s">
        <v>34</v>
      </c>
      <c r="AJ482" s="4">
        <v>63</v>
      </c>
      <c r="AK482" s="1">
        <f>Table1[[#This Row],[avg_salary]]*1000</f>
        <v>63000</v>
      </c>
    </row>
    <row r="483" spans="1:37" x14ac:dyDescent="0.3">
      <c r="A483" s="1">
        <v>616</v>
      </c>
      <c r="B483" s="1" t="s">
        <v>86</v>
      </c>
      <c r="C483" s="1" t="s">
        <v>1098</v>
      </c>
      <c r="D483" s="4">
        <v>47000</v>
      </c>
      <c r="E483" s="4">
        <v>85000</v>
      </c>
      <c r="F483" s="4">
        <v>66000</v>
      </c>
      <c r="G483" s="1" t="s">
        <v>1183</v>
      </c>
      <c r="H483" t="s">
        <v>1183</v>
      </c>
      <c r="I483" s="1" t="s">
        <v>1184</v>
      </c>
      <c r="J483" s="1" t="s">
        <v>780</v>
      </c>
      <c r="K483" s="1" t="s">
        <v>37</v>
      </c>
      <c r="L483" s="1" t="s">
        <v>38</v>
      </c>
      <c r="M483" s="1" t="s">
        <v>121</v>
      </c>
      <c r="N483" s="1" t="s">
        <v>668</v>
      </c>
      <c r="O483" s="1" t="s">
        <v>56</v>
      </c>
      <c r="P483">
        <v>52</v>
      </c>
      <c r="Q483" s="1">
        <v>0</v>
      </c>
      <c r="R483" s="1">
        <v>0</v>
      </c>
      <c r="S483" s="1">
        <v>0</v>
      </c>
      <c r="T483" s="1">
        <v>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 t="s">
        <v>88</v>
      </c>
      <c r="AH483" s="1" t="str">
        <f t="shared" si="7"/>
        <v>Jr</v>
      </c>
      <c r="AI483" t="s">
        <v>34</v>
      </c>
      <c r="AJ483" s="4">
        <v>66</v>
      </c>
      <c r="AK483" s="1">
        <f>Table1[[#This Row],[avg_salary]]*1000</f>
        <v>66000</v>
      </c>
    </row>
    <row r="484" spans="1:37" x14ac:dyDescent="0.3">
      <c r="A484" s="1">
        <v>617</v>
      </c>
      <c r="B484" s="1" t="s">
        <v>150</v>
      </c>
      <c r="C484" s="1" t="s">
        <v>1016</v>
      </c>
      <c r="D484" s="4">
        <v>65000</v>
      </c>
      <c r="E484" s="4">
        <v>124000</v>
      </c>
      <c r="F484" s="4">
        <v>94500</v>
      </c>
      <c r="G484" s="1" t="s">
        <v>1353</v>
      </c>
      <c r="H484" t="s">
        <v>1439</v>
      </c>
      <c r="I484" s="1" t="s">
        <v>1189</v>
      </c>
      <c r="J484" s="1" t="s">
        <v>780</v>
      </c>
      <c r="K484" s="1" t="s">
        <v>37</v>
      </c>
      <c r="L484" s="1" t="s">
        <v>38</v>
      </c>
      <c r="M484" s="1" t="s">
        <v>54</v>
      </c>
      <c r="N484" s="1" t="s">
        <v>523</v>
      </c>
      <c r="O484" s="1" t="s">
        <v>67</v>
      </c>
      <c r="P484">
        <v>27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 t="s">
        <v>98</v>
      </c>
      <c r="AH484" s="1" t="str">
        <f t="shared" si="7"/>
        <v>Jr</v>
      </c>
      <c r="AI484" t="s">
        <v>34</v>
      </c>
      <c r="AJ484" s="4">
        <v>94.5</v>
      </c>
      <c r="AK484" s="1">
        <f>Table1[[#This Row],[avg_salary]]*1000</f>
        <v>94500</v>
      </c>
    </row>
    <row r="485" spans="1:37" x14ac:dyDescent="0.3">
      <c r="A485" s="1">
        <v>619</v>
      </c>
      <c r="B485" s="1" t="s">
        <v>28</v>
      </c>
      <c r="C485" s="1" t="s">
        <v>829</v>
      </c>
      <c r="D485" s="4">
        <v>56000</v>
      </c>
      <c r="E485" s="4">
        <v>95000</v>
      </c>
      <c r="F485" s="4">
        <v>75500</v>
      </c>
      <c r="G485" s="1" t="s">
        <v>1183</v>
      </c>
      <c r="H485" t="s">
        <v>1183</v>
      </c>
      <c r="I485" s="1" t="s">
        <v>1184</v>
      </c>
      <c r="J485" s="1" t="s">
        <v>780</v>
      </c>
      <c r="K485" s="1" t="s">
        <v>254</v>
      </c>
      <c r="L485" s="1" t="s">
        <v>255</v>
      </c>
      <c r="M485" s="1" t="s">
        <v>54</v>
      </c>
      <c r="N485" s="1" t="s">
        <v>669</v>
      </c>
      <c r="O485" s="1" t="s">
        <v>56</v>
      </c>
      <c r="P485">
        <v>53</v>
      </c>
      <c r="Q485" s="1">
        <v>1</v>
      </c>
      <c r="R485" s="1">
        <v>0</v>
      </c>
      <c r="S485" s="1">
        <v>1</v>
      </c>
      <c r="T485" s="1">
        <v>0</v>
      </c>
      <c r="U485" s="1">
        <v>1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1</v>
      </c>
      <c r="AB485" s="1">
        <v>1</v>
      </c>
      <c r="AC485" s="1">
        <v>0</v>
      </c>
      <c r="AD485" s="1">
        <v>0</v>
      </c>
      <c r="AE485" s="1">
        <v>0</v>
      </c>
      <c r="AF485" s="1">
        <v>0</v>
      </c>
      <c r="AG485" s="1" t="s">
        <v>33</v>
      </c>
      <c r="AH485" s="1" t="str">
        <f t="shared" si="7"/>
        <v>Jr</v>
      </c>
      <c r="AI485" t="s">
        <v>34</v>
      </c>
      <c r="AJ485" s="4">
        <v>75.5</v>
      </c>
      <c r="AK485" s="1">
        <f>Table1[[#This Row],[avg_salary]]*1000</f>
        <v>75500</v>
      </c>
    </row>
    <row r="486" spans="1:37" x14ac:dyDescent="0.3">
      <c r="A486" s="1">
        <v>622</v>
      </c>
      <c r="B486" s="1" t="s">
        <v>304</v>
      </c>
      <c r="C486" s="1" t="s">
        <v>1099</v>
      </c>
      <c r="D486" s="4">
        <v>62000</v>
      </c>
      <c r="E486" s="4">
        <v>112000</v>
      </c>
      <c r="F486" s="4">
        <v>87000</v>
      </c>
      <c r="G486" s="1" t="s">
        <v>1264</v>
      </c>
      <c r="H486" t="s">
        <v>1440</v>
      </c>
      <c r="I486" s="1" t="s">
        <v>1192</v>
      </c>
      <c r="J486" s="1" t="s">
        <v>781</v>
      </c>
      <c r="K486" s="1" t="s">
        <v>29</v>
      </c>
      <c r="L486" s="1" t="s">
        <v>29</v>
      </c>
      <c r="M486" s="1" t="s">
        <v>44</v>
      </c>
      <c r="N486" s="1" t="s">
        <v>670</v>
      </c>
      <c r="O486" s="1" t="s">
        <v>81</v>
      </c>
      <c r="P486">
        <v>33</v>
      </c>
      <c r="Q486" s="1">
        <v>1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 t="s">
        <v>306</v>
      </c>
      <c r="AH486" s="1" t="str">
        <f t="shared" si="7"/>
        <v>Jr</v>
      </c>
      <c r="AI486" t="s">
        <v>72</v>
      </c>
      <c r="AJ486" s="4">
        <v>87</v>
      </c>
      <c r="AK486" s="1">
        <f>Table1[[#This Row],[avg_salary]]*1000</f>
        <v>87000</v>
      </c>
    </row>
    <row r="487" spans="1:37" x14ac:dyDescent="0.3">
      <c r="A487" s="1">
        <v>623</v>
      </c>
      <c r="B487" s="1" t="s">
        <v>671</v>
      </c>
      <c r="C487" s="1" t="s">
        <v>1031</v>
      </c>
      <c r="D487" s="4">
        <v>107000</v>
      </c>
      <c r="E487" s="4">
        <v>173000</v>
      </c>
      <c r="F487" s="4">
        <v>140000</v>
      </c>
      <c r="G487" s="1" t="s">
        <v>1386</v>
      </c>
      <c r="H487" t="s">
        <v>1436</v>
      </c>
      <c r="I487" s="1" t="s">
        <v>1178</v>
      </c>
      <c r="J487" s="1" t="s">
        <v>781</v>
      </c>
      <c r="K487" s="1" t="s">
        <v>89</v>
      </c>
      <c r="L487" s="1" t="s">
        <v>89</v>
      </c>
      <c r="M487" s="1" t="s">
        <v>84</v>
      </c>
      <c r="N487" s="1" t="s">
        <v>536</v>
      </c>
      <c r="O487" s="1" t="s">
        <v>41</v>
      </c>
      <c r="P487">
        <v>40</v>
      </c>
      <c r="Q487" s="1">
        <v>1</v>
      </c>
      <c r="R487" s="1">
        <v>0</v>
      </c>
      <c r="S487" s="1">
        <v>0</v>
      </c>
      <c r="T487" s="1">
        <v>1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 t="s">
        <v>33</v>
      </c>
      <c r="AH487" s="1" t="str">
        <f t="shared" si="7"/>
        <v>Sr</v>
      </c>
      <c r="AI487" t="s">
        <v>72</v>
      </c>
      <c r="AJ487" s="4">
        <v>140</v>
      </c>
      <c r="AK487" s="1">
        <f>Table1[[#This Row],[avg_salary]]*1000</f>
        <v>140000</v>
      </c>
    </row>
    <row r="488" spans="1:37" x14ac:dyDescent="0.3">
      <c r="A488" s="1">
        <v>624</v>
      </c>
      <c r="B488" s="1" t="s">
        <v>28</v>
      </c>
      <c r="C488" s="1" t="s">
        <v>1100</v>
      </c>
      <c r="D488" s="4">
        <v>64000</v>
      </c>
      <c r="E488" s="4">
        <v>108000</v>
      </c>
      <c r="F488" s="4">
        <v>86000</v>
      </c>
      <c r="G488" s="1" t="s">
        <v>1267</v>
      </c>
      <c r="H488" t="s">
        <v>1436</v>
      </c>
      <c r="I488" s="1" t="s">
        <v>1178</v>
      </c>
      <c r="J488" s="1" t="s">
        <v>780</v>
      </c>
      <c r="K488" s="1" t="s">
        <v>143</v>
      </c>
      <c r="L488" s="1" t="s">
        <v>74</v>
      </c>
      <c r="M488" s="1" t="s">
        <v>65</v>
      </c>
      <c r="N488" s="1" t="s">
        <v>672</v>
      </c>
      <c r="O488" s="1" t="s">
        <v>41</v>
      </c>
      <c r="P488">
        <v>34</v>
      </c>
      <c r="Q488" s="1">
        <v>1</v>
      </c>
      <c r="R488" s="1">
        <v>0</v>
      </c>
      <c r="S488" s="1">
        <v>0</v>
      </c>
      <c r="T488" s="1">
        <v>1</v>
      </c>
      <c r="U488" s="1">
        <v>0</v>
      </c>
      <c r="V488" s="1">
        <v>1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 t="s">
        <v>33</v>
      </c>
      <c r="AH488" s="1" t="str">
        <f t="shared" si="7"/>
        <v>Jr</v>
      </c>
      <c r="AI488" t="s">
        <v>34</v>
      </c>
      <c r="AJ488" s="4">
        <v>86</v>
      </c>
      <c r="AK488" s="1">
        <f>Table1[[#This Row],[avg_salary]]*1000</f>
        <v>86000</v>
      </c>
    </row>
    <row r="489" spans="1:37" x14ac:dyDescent="0.3">
      <c r="A489" s="1">
        <v>625</v>
      </c>
      <c r="B489" s="1" t="s">
        <v>148</v>
      </c>
      <c r="C489" s="1" t="s">
        <v>1101</v>
      </c>
      <c r="D489" s="4">
        <v>89000</v>
      </c>
      <c r="E489" s="4">
        <v>144000</v>
      </c>
      <c r="F489" s="4">
        <v>116500</v>
      </c>
      <c r="G489" s="1" t="s">
        <v>1239</v>
      </c>
      <c r="H489" t="s">
        <v>1439</v>
      </c>
      <c r="I489" s="1" t="s">
        <v>1189</v>
      </c>
      <c r="J489" s="1" t="s">
        <v>780</v>
      </c>
      <c r="K489" s="1" t="s">
        <v>73</v>
      </c>
      <c r="L489" s="1" t="s">
        <v>74</v>
      </c>
      <c r="M489" s="1" t="s">
        <v>54</v>
      </c>
      <c r="N489" s="1" t="s">
        <v>673</v>
      </c>
      <c r="O489" s="1" t="s">
        <v>67</v>
      </c>
      <c r="P489">
        <v>44</v>
      </c>
      <c r="Q489" s="1">
        <v>1</v>
      </c>
      <c r="R489" s="1">
        <v>0</v>
      </c>
      <c r="S489" s="1">
        <v>0</v>
      </c>
      <c r="T489" s="1">
        <v>0</v>
      </c>
      <c r="U489" s="1">
        <v>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 t="s">
        <v>33</v>
      </c>
      <c r="AH489" s="1" t="str">
        <f t="shared" si="7"/>
        <v>Sr</v>
      </c>
      <c r="AI489" t="s">
        <v>34</v>
      </c>
      <c r="AJ489" s="4">
        <v>116.5</v>
      </c>
      <c r="AK489" s="1">
        <f>Table1[[#This Row],[avg_salary]]*1000</f>
        <v>116500</v>
      </c>
    </row>
    <row r="490" spans="1:37" x14ac:dyDescent="0.3">
      <c r="A490" s="1">
        <v>627</v>
      </c>
      <c r="B490" s="1" t="s">
        <v>524</v>
      </c>
      <c r="C490" s="1" t="s">
        <v>1017</v>
      </c>
      <c r="D490" s="4">
        <v>109000</v>
      </c>
      <c r="E490" s="4">
        <v>200000</v>
      </c>
      <c r="F490" s="4">
        <v>154500</v>
      </c>
      <c r="G490" s="1" t="s">
        <v>1221</v>
      </c>
      <c r="H490" t="s">
        <v>1441</v>
      </c>
      <c r="I490" s="1" t="s">
        <v>1196</v>
      </c>
      <c r="J490" s="1" t="s">
        <v>780</v>
      </c>
      <c r="K490" s="1" t="s">
        <v>89</v>
      </c>
      <c r="L490" s="1" t="s">
        <v>89</v>
      </c>
      <c r="M490" s="1" t="s">
        <v>58</v>
      </c>
      <c r="N490" s="1" t="s">
        <v>348</v>
      </c>
      <c r="O490" s="1" t="s">
        <v>91</v>
      </c>
      <c r="P490">
        <v>50</v>
      </c>
      <c r="Q490" s="1">
        <v>1</v>
      </c>
      <c r="R490" s="1">
        <v>0</v>
      </c>
      <c r="S490" s="1">
        <v>0</v>
      </c>
      <c r="T490" s="1">
        <v>1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 t="s">
        <v>71</v>
      </c>
      <c r="AH490" s="1" t="str">
        <f t="shared" si="7"/>
        <v>Sr</v>
      </c>
      <c r="AI490" t="s">
        <v>72</v>
      </c>
      <c r="AJ490" s="4">
        <v>154.5</v>
      </c>
      <c r="AK490" s="1">
        <f>Table1[[#This Row],[avg_salary]]*1000</f>
        <v>154500</v>
      </c>
    </row>
    <row r="491" spans="1:37" x14ac:dyDescent="0.3">
      <c r="A491" s="1">
        <v>629</v>
      </c>
      <c r="B491" s="1" t="s">
        <v>525</v>
      </c>
      <c r="C491" s="1" t="s">
        <v>1018</v>
      </c>
      <c r="D491" s="4">
        <v>61000</v>
      </c>
      <c r="E491" s="4">
        <v>113000</v>
      </c>
      <c r="F491" s="4">
        <v>87000</v>
      </c>
      <c r="G491" s="1" t="s">
        <v>1354</v>
      </c>
      <c r="H491" t="s">
        <v>1469</v>
      </c>
      <c r="I491" s="1" t="s">
        <v>1355</v>
      </c>
      <c r="J491" s="1" t="s">
        <v>781</v>
      </c>
      <c r="K491" s="1" t="s">
        <v>526</v>
      </c>
      <c r="L491" s="1" t="s">
        <v>62</v>
      </c>
      <c r="M491" s="1" t="s">
        <v>50</v>
      </c>
      <c r="N491" s="1" t="s">
        <v>527</v>
      </c>
      <c r="O491" s="1" t="s">
        <v>528</v>
      </c>
      <c r="P491">
        <v>59</v>
      </c>
      <c r="Q491" s="1">
        <v>1</v>
      </c>
      <c r="R491" s="1">
        <v>0</v>
      </c>
      <c r="S491" s="1">
        <v>0</v>
      </c>
      <c r="T491" s="1">
        <v>1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 t="s">
        <v>306</v>
      </c>
      <c r="AH491" s="1" t="str">
        <f t="shared" si="7"/>
        <v>Jr</v>
      </c>
      <c r="AI491" t="s">
        <v>72</v>
      </c>
      <c r="AJ491" s="4">
        <v>87</v>
      </c>
      <c r="AK491" s="1">
        <f>Table1[[#This Row],[avg_salary]]*1000</f>
        <v>87000</v>
      </c>
    </row>
    <row r="492" spans="1:37" x14ac:dyDescent="0.3">
      <c r="A492" s="1">
        <v>630</v>
      </c>
      <c r="B492" s="1" t="s">
        <v>400</v>
      </c>
      <c r="C492" s="1" t="s">
        <v>942</v>
      </c>
      <c r="D492" s="4">
        <v>35000</v>
      </c>
      <c r="E492" s="4">
        <v>62000</v>
      </c>
      <c r="F492" s="4">
        <v>48500</v>
      </c>
      <c r="G492" s="1" t="s">
        <v>1315</v>
      </c>
      <c r="H492" t="s">
        <v>1439</v>
      </c>
      <c r="I492" s="1" t="s">
        <v>1189</v>
      </c>
      <c r="J492" s="1" t="s">
        <v>780</v>
      </c>
      <c r="K492" s="1" t="s">
        <v>401</v>
      </c>
      <c r="L492" s="1" t="s">
        <v>402</v>
      </c>
      <c r="M492" s="1" t="s">
        <v>44</v>
      </c>
      <c r="N492" s="1" t="s">
        <v>403</v>
      </c>
      <c r="O492" s="1" t="s">
        <v>67</v>
      </c>
      <c r="P492">
        <v>28</v>
      </c>
      <c r="Q492" s="1">
        <v>0</v>
      </c>
      <c r="R492" s="1">
        <v>0</v>
      </c>
      <c r="S492" s="1">
        <v>0</v>
      </c>
      <c r="T492" s="1">
        <v>1</v>
      </c>
      <c r="U492" s="1">
        <v>1</v>
      </c>
      <c r="V492" s="1">
        <v>1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1</v>
      </c>
      <c r="AG492" s="1" t="s">
        <v>88</v>
      </c>
      <c r="AH492" s="1" t="str">
        <f t="shared" si="7"/>
        <v>Jr</v>
      </c>
      <c r="AI492" t="s">
        <v>34</v>
      </c>
      <c r="AJ492" s="4">
        <v>48.5</v>
      </c>
      <c r="AK492" s="1">
        <f>Table1[[#This Row],[avg_salary]]*1000</f>
        <v>48500</v>
      </c>
    </row>
    <row r="493" spans="1:37" x14ac:dyDescent="0.3">
      <c r="A493" s="1">
        <v>631</v>
      </c>
      <c r="B493" s="1" t="s">
        <v>150</v>
      </c>
      <c r="C493" s="1" t="s">
        <v>1102</v>
      </c>
      <c r="D493" s="4">
        <v>55000</v>
      </c>
      <c r="E493" s="4">
        <v>105000</v>
      </c>
      <c r="F493" s="4">
        <v>80000</v>
      </c>
      <c r="G493" s="1" t="s">
        <v>1269</v>
      </c>
      <c r="H493" t="s">
        <v>1438</v>
      </c>
      <c r="I493" s="1" t="s">
        <v>1186</v>
      </c>
      <c r="J493" s="1" t="s">
        <v>780</v>
      </c>
      <c r="K493" s="1" t="s">
        <v>143</v>
      </c>
      <c r="L493" s="1" t="s">
        <v>74</v>
      </c>
      <c r="M493" s="1" t="s">
        <v>58</v>
      </c>
      <c r="N493" s="1" t="s">
        <v>674</v>
      </c>
      <c r="O493" s="1" t="s">
        <v>60</v>
      </c>
      <c r="P493">
        <v>29</v>
      </c>
      <c r="Q493" s="1">
        <v>1</v>
      </c>
      <c r="R493" s="1">
        <v>1</v>
      </c>
      <c r="S493" s="1">
        <v>0</v>
      </c>
      <c r="T493" s="1">
        <v>1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 t="s">
        <v>98</v>
      </c>
      <c r="AH493" s="1" t="str">
        <f t="shared" si="7"/>
        <v>Jr</v>
      </c>
      <c r="AI493" t="s">
        <v>34</v>
      </c>
      <c r="AJ493" s="4">
        <v>80</v>
      </c>
      <c r="AK493" s="1">
        <f>Table1[[#This Row],[avg_salary]]*1000</f>
        <v>80000</v>
      </c>
    </row>
    <row r="494" spans="1:37" x14ac:dyDescent="0.3">
      <c r="A494" s="1">
        <v>632</v>
      </c>
      <c r="B494" s="1" t="s">
        <v>404</v>
      </c>
      <c r="C494" s="1" t="s">
        <v>1426</v>
      </c>
      <c r="D494" s="4">
        <v>37000</v>
      </c>
      <c r="E494" s="4">
        <v>52000</v>
      </c>
      <c r="F494" s="4">
        <v>44500</v>
      </c>
      <c r="G494" s="1" t="s">
        <v>1316</v>
      </c>
      <c r="H494" t="s">
        <v>1438</v>
      </c>
      <c r="I494" s="1" t="s">
        <v>1186</v>
      </c>
      <c r="J494" s="1" t="s">
        <v>69</v>
      </c>
      <c r="K494" s="1" t="s">
        <v>37</v>
      </c>
      <c r="L494" s="1" t="s">
        <v>38</v>
      </c>
      <c r="M494" s="1" t="s">
        <v>30</v>
      </c>
      <c r="N494" s="1" t="s">
        <v>405</v>
      </c>
      <c r="O494" s="1" t="s">
        <v>60</v>
      </c>
      <c r="P494">
        <v>27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 t="s">
        <v>71</v>
      </c>
      <c r="AH494" s="1" t="str">
        <f t="shared" si="7"/>
        <v>Jr</v>
      </c>
      <c r="AI494" t="s">
        <v>34</v>
      </c>
      <c r="AJ494" s="4">
        <v>44.5</v>
      </c>
      <c r="AK494" s="1">
        <f>Table1[[#This Row],[avg_salary]]*1000</f>
        <v>44500</v>
      </c>
    </row>
    <row r="495" spans="1:37" x14ac:dyDescent="0.3">
      <c r="A495" s="1">
        <v>633</v>
      </c>
      <c r="B495" s="1" t="s">
        <v>406</v>
      </c>
      <c r="C495" s="1" t="s">
        <v>943</v>
      </c>
      <c r="D495" s="4">
        <v>39000</v>
      </c>
      <c r="E495" s="4">
        <v>66000</v>
      </c>
      <c r="F495" s="4">
        <v>52500</v>
      </c>
      <c r="G495" s="1" t="s">
        <v>1317</v>
      </c>
      <c r="H495" t="s">
        <v>1444</v>
      </c>
      <c r="I495" s="1" t="s">
        <v>1204</v>
      </c>
      <c r="J495" s="1" t="s">
        <v>780</v>
      </c>
      <c r="K495" s="1" t="s">
        <v>407</v>
      </c>
      <c r="L495" s="1" t="s">
        <v>158</v>
      </c>
      <c r="M495" s="1" t="s">
        <v>44</v>
      </c>
      <c r="N495" s="1" t="s">
        <v>408</v>
      </c>
      <c r="O495" s="1" t="s">
        <v>120</v>
      </c>
      <c r="P495">
        <v>30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 t="s">
        <v>71</v>
      </c>
      <c r="AH495" s="1" t="str">
        <f t="shared" si="7"/>
        <v>Jr</v>
      </c>
      <c r="AI495" t="s">
        <v>34</v>
      </c>
      <c r="AJ495" s="4">
        <v>52.5</v>
      </c>
      <c r="AK495" s="1">
        <f>Table1[[#This Row],[avg_salary]]*1000</f>
        <v>52500</v>
      </c>
    </row>
    <row r="496" spans="1:37" x14ac:dyDescent="0.3">
      <c r="A496" s="1">
        <v>634</v>
      </c>
      <c r="B496" s="1" t="s">
        <v>675</v>
      </c>
      <c r="C496" s="1" t="s">
        <v>1103</v>
      </c>
      <c r="D496" s="4">
        <v>135000</v>
      </c>
      <c r="E496" s="4">
        <v>211000</v>
      </c>
      <c r="F496" s="4">
        <v>173000</v>
      </c>
      <c r="G496" s="1" t="s">
        <v>1188</v>
      </c>
      <c r="H496" t="s">
        <v>1439</v>
      </c>
      <c r="I496" s="1" t="s">
        <v>1189</v>
      </c>
      <c r="J496" s="1" t="s">
        <v>781</v>
      </c>
      <c r="K496" s="1" t="s">
        <v>29</v>
      </c>
      <c r="L496" s="1" t="s">
        <v>29</v>
      </c>
      <c r="M496" s="1" t="s">
        <v>84</v>
      </c>
      <c r="N496" s="1" t="s">
        <v>179</v>
      </c>
      <c r="O496" s="1" t="s">
        <v>67</v>
      </c>
      <c r="P496">
        <v>42</v>
      </c>
      <c r="Q496" s="1">
        <v>1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 t="s">
        <v>33</v>
      </c>
      <c r="AH496" s="1" t="str">
        <f t="shared" si="7"/>
        <v>Sr</v>
      </c>
      <c r="AI496" t="s">
        <v>34</v>
      </c>
      <c r="AJ496" s="4">
        <v>173</v>
      </c>
      <c r="AK496" s="1">
        <f>Table1[[#This Row],[avg_salary]]*1000</f>
        <v>173000</v>
      </c>
    </row>
    <row r="497" spans="1:37" x14ac:dyDescent="0.3">
      <c r="A497" s="1">
        <v>635</v>
      </c>
      <c r="B497" s="1" t="s">
        <v>150</v>
      </c>
      <c r="C497" s="1" t="s">
        <v>1104</v>
      </c>
      <c r="D497" s="4">
        <v>57000</v>
      </c>
      <c r="E497" s="4">
        <v>80000</v>
      </c>
      <c r="F497" s="4">
        <v>68500</v>
      </c>
      <c r="G497" s="1" t="s">
        <v>1274</v>
      </c>
      <c r="H497" t="s">
        <v>1459</v>
      </c>
      <c r="I497" s="1" t="s">
        <v>1275</v>
      </c>
      <c r="J497" s="1" t="s">
        <v>780</v>
      </c>
      <c r="K497" s="1" t="s">
        <v>89</v>
      </c>
      <c r="L497" s="1" t="s">
        <v>89</v>
      </c>
      <c r="M497" s="1" t="s">
        <v>54</v>
      </c>
      <c r="N497" s="1" t="s">
        <v>676</v>
      </c>
      <c r="O497" s="1" t="s">
        <v>266</v>
      </c>
      <c r="P497">
        <v>21</v>
      </c>
      <c r="Q497" s="1">
        <v>1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 t="s">
        <v>98</v>
      </c>
      <c r="AH497" s="1" t="str">
        <f t="shared" si="7"/>
        <v>Jr</v>
      </c>
      <c r="AI497" t="s">
        <v>34</v>
      </c>
      <c r="AJ497" s="4">
        <v>68.5</v>
      </c>
      <c r="AK497" s="1">
        <f>Table1[[#This Row],[avg_salary]]*1000</f>
        <v>68500</v>
      </c>
    </row>
    <row r="498" spans="1:37" x14ac:dyDescent="0.3">
      <c r="A498" s="1">
        <v>636</v>
      </c>
      <c r="B498" s="1" t="s">
        <v>677</v>
      </c>
      <c r="C498" s="1" t="s">
        <v>1105</v>
      </c>
      <c r="D498" s="4">
        <v>129000</v>
      </c>
      <c r="E498" s="4">
        <v>215000</v>
      </c>
      <c r="F498" s="4">
        <v>172000</v>
      </c>
      <c r="G498" s="1" t="s">
        <v>1183</v>
      </c>
      <c r="H498" t="s">
        <v>1183</v>
      </c>
      <c r="I498" s="1" t="s">
        <v>1184</v>
      </c>
      <c r="J498" s="1" t="s">
        <v>780</v>
      </c>
      <c r="K498" s="1" t="s">
        <v>353</v>
      </c>
      <c r="L498" s="1" t="s">
        <v>62</v>
      </c>
      <c r="M498" s="1" t="s">
        <v>54</v>
      </c>
      <c r="N498" s="1" t="s">
        <v>678</v>
      </c>
      <c r="O498" s="1" t="s">
        <v>56</v>
      </c>
      <c r="P498">
        <v>47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 t="s">
        <v>33</v>
      </c>
      <c r="AH498" s="1" t="str">
        <f t="shared" si="7"/>
        <v>Sr</v>
      </c>
      <c r="AI498" t="s">
        <v>72</v>
      </c>
      <c r="AJ498" s="4">
        <v>172</v>
      </c>
      <c r="AK498" s="1">
        <f>Table1[[#This Row],[avg_salary]]*1000</f>
        <v>172000</v>
      </c>
    </row>
    <row r="499" spans="1:37" x14ac:dyDescent="0.3">
      <c r="A499" s="1">
        <v>637</v>
      </c>
      <c r="B499" s="1" t="s">
        <v>173</v>
      </c>
      <c r="C499" s="1" t="s">
        <v>786</v>
      </c>
      <c r="D499" s="4">
        <v>86000</v>
      </c>
      <c r="E499" s="4">
        <v>143000</v>
      </c>
      <c r="F499" s="4">
        <v>114500</v>
      </c>
      <c r="G499" s="1" t="s">
        <v>1231</v>
      </c>
      <c r="H499" t="s">
        <v>1441</v>
      </c>
      <c r="I499" s="1" t="s">
        <v>1196</v>
      </c>
      <c r="J499" s="1" t="s">
        <v>780</v>
      </c>
      <c r="K499" s="1" t="s">
        <v>108</v>
      </c>
      <c r="L499" s="1" t="s">
        <v>109</v>
      </c>
      <c r="M499" s="1" t="s">
        <v>84</v>
      </c>
      <c r="N499" s="1" t="s">
        <v>174</v>
      </c>
      <c r="O499" s="1" t="s">
        <v>91</v>
      </c>
      <c r="P499">
        <v>32</v>
      </c>
      <c r="Q499" s="1">
        <v>1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 t="s">
        <v>33</v>
      </c>
      <c r="AH499" s="1" t="str">
        <f t="shared" si="7"/>
        <v>Sr</v>
      </c>
      <c r="AI499" t="s">
        <v>34</v>
      </c>
      <c r="AJ499" s="4">
        <v>114.5</v>
      </c>
      <c r="AK499" s="1">
        <f>Table1[[#This Row],[avg_salary]]*1000</f>
        <v>114500</v>
      </c>
    </row>
    <row r="500" spans="1:37" x14ac:dyDescent="0.3">
      <c r="A500" s="1">
        <v>638</v>
      </c>
      <c r="B500" s="1" t="s">
        <v>679</v>
      </c>
      <c r="C500" s="1" t="s">
        <v>1106</v>
      </c>
      <c r="D500" s="4">
        <v>63000</v>
      </c>
      <c r="E500" s="4">
        <v>127000</v>
      </c>
      <c r="F500" s="4">
        <v>95000</v>
      </c>
      <c r="G500" s="1" t="s">
        <v>1386</v>
      </c>
      <c r="H500" t="s">
        <v>1436</v>
      </c>
      <c r="I500" s="1" t="s">
        <v>1178</v>
      </c>
      <c r="J500" s="1" t="s">
        <v>781</v>
      </c>
      <c r="K500" s="1" t="s">
        <v>89</v>
      </c>
      <c r="L500" s="1" t="s">
        <v>89</v>
      </c>
      <c r="M500" s="1" t="s">
        <v>84</v>
      </c>
      <c r="N500" s="1" t="s">
        <v>536</v>
      </c>
      <c r="O500" s="1" t="s">
        <v>41</v>
      </c>
      <c r="P500">
        <v>36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 t="s">
        <v>71</v>
      </c>
      <c r="AH500" s="1" t="str">
        <f t="shared" si="7"/>
        <v>Jr</v>
      </c>
      <c r="AI500" t="s">
        <v>72</v>
      </c>
      <c r="AJ500" s="4">
        <v>95</v>
      </c>
      <c r="AK500" s="1">
        <f>Table1[[#This Row],[avg_salary]]*1000</f>
        <v>95000</v>
      </c>
    </row>
    <row r="501" spans="1:37" x14ac:dyDescent="0.3">
      <c r="A501" s="1">
        <v>639</v>
      </c>
      <c r="B501" s="1" t="s">
        <v>680</v>
      </c>
      <c r="C501" s="1" t="s">
        <v>1107</v>
      </c>
      <c r="D501" s="4">
        <v>50000</v>
      </c>
      <c r="E501" s="4">
        <v>89000</v>
      </c>
      <c r="F501" s="4">
        <v>69500</v>
      </c>
      <c r="G501" s="1" t="s">
        <v>1387</v>
      </c>
      <c r="H501" t="s">
        <v>1441</v>
      </c>
      <c r="I501" s="1" t="s">
        <v>1196</v>
      </c>
      <c r="J501" s="1" t="s">
        <v>107</v>
      </c>
      <c r="K501" s="1" t="s">
        <v>246</v>
      </c>
      <c r="L501" s="1" t="s">
        <v>47</v>
      </c>
      <c r="M501" s="1" t="s">
        <v>58</v>
      </c>
      <c r="N501" s="1" t="s">
        <v>247</v>
      </c>
      <c r="O501" s="1" t="s">
        <v>91</v>
      </c>
      <c r="P501">
        <v>51</v>
      </c>
      <c r="Q501" s="1">
        <v>1</v>
      </c>
      <c r="R501" s="1">
        <v>0</v>
      </c>
      <c r="S501" s="1">
        <v>0</v>
      </c>
      <c r="T501" s="1">
        <v>1</v>
      </c>
      <c r="U501" s="1">
        <v>1</v>
      </c>
      <c r="V501" s="1">
        <v>1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1</v>
      </c>
      <c r="AC501" s="1">
        <v>0</v>
      </c>
      <c r="AD501" s="1">
        <v>0</v>
      </c>
      <c r="AE501" s="1">
        <v>1</v>
      </c>
      <c r="AF501" s="1">
        <v>0</v>
      </c>
      <c r="AG501" s="1" t="s">
        <v>33</v>
      </c>
      <c r="AH501" s="1" t="str">
        <f t="shared" si="7"/>
        <v>Jr</v>
      </c>
      <c r="AI501" t="s">
        <v>34</v>
      </c>
      <c r="AJ501" s="4">
        <v>69.5</v>
      </c>
      <c r="AK501" s="1">
        <f>Table1[[#This Row],[avg_salary]]*1000</f>
        <v>69500</v>
      </c>
    </row>
    <row r="502" spans="1:37" x14ac:dyDescent="0.3">
      <c r="A502" s="1">
        <v>640</v>
      </c>
      <c r="B502" s="1" t="s">
        <v>150</v>
      </c>
      <c r="C502" s="1" t="s">
        <v>1019</v>
      </c>
      <c r="D502" s="4">
        <v>43000</v>
      </c>
      <c r="E502" s="4">
        <v>86000</v>
      </c>
      <c r="F502" s="4">
        <v>64500</v>
      </c>
      <c r="G502" s="1" t="s">
        <v>1183</v>
      </c>
      <c r="H502" t="s">
        <v>1183</v>
      </c>
      <c r="I502" s="1" t="s">
        <v>1184</v>
      </c>
      <c r="J502" s="1" t="s">
        <v>780</v>
      </c>
      <c r="K502" s="1" t="s">
        <v>79</v>
      </c>
      <c r="L502" s="1" t="s">
        <v>43</v>
      </c>
      <c r="M502" s="1" t="s">
        <v>54</v>
      </c>
      <c r="N502" s="1" t="s">
        <v>529</v>
      </c>
      <c r="O502" s="1" t="s">
        <v>56</v>
      </c>
      <c r="P502">
        <v>40</v>
      </c>
      <c r="Q502" s="1">
        <v>1</v>
      </c>
      <c r="R502" s="1">
        <v>0</v>
      </c>
      <c r="S502" s="1">
        <v>1</v>
      </c>
      <c r="T502" s="1">
        <v>1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 t="s">
        <v>98</v>
      </c>
      <c r="AH502" s="1" t="str">
        <f t="shared" si="7"/>
        <v>Jr</v>
      </c>
      <c r="AI502" t="s">
        <v>34</v>
      </c>
      <c r="AJ502" s="4">
        <v>64.5</v>
      </c>
      <c r="AK502" s="1">
        <f>Table1[[#This Row],[avg_salary]]*1000</f>
        <v>64500</v>
      </c>
    </row>
    <row r="503" spans="1:37" x14ac:dyDescent="0.3">
      <c r="A503" s="1">
        <v>642</v>
      </c>
      <c r="B503" s="1" t="s">
        <v>530</v>
      </c>
      <c r="C503" s="1" t="s">
        <v>1020</v>
      </c>
      <c r="D503" s="4">
        <v>74000</v>
      </c>
      <c r="E503" s="4">
        <v>149000</v>
      </c>
      <c r="F503" s="4">
        <v>111500</v>
      </c>
      <c r="G503" s="1" t="s">
        <v>1356</v>
      </c>
      <c r="H503" t="s">
        <v>1439</v>
      </c>
      <c r="I503" s="1" t="s">
        <v>1189</v>
      </c>
      <c r="J503" s="1" t="s">
        <v>781</v>
      </c>
      <c r="K503" s="1" t="s">
        <v>89</v>
      </c>
      <c r="L503" s="1" t="s">
        <v>89</v>
      </c>
      <c r="M503" s="1" t="s">
        <v>65</v>
      </c>
      <c r="N503" s="1" t="s">
        <v>531</v>
      </c>
      <c r="O503" s="1" t="s">
        <v>67</v>
      </c>
      <c r="P503">
        <v>51</v>
      </c>
      <c r="Q503" s="1">
        <v>0</v>
      </c>
      <c r="R503" s="1">
        <v>0</v>
      </c>
      <c r="S503" s="1">
        <v>0</v>
      </c>
      <c r="T503" s="1">
        <v>1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 t="s">
        <v>71</v>
      </c>
      <c r="AH503" s="1" t="str">
        <f t="shared" si="7"/>
        <v>Jr</v>
      </c>
      <c r="AI503" t="s">
        <v>72</v>
      </c>
      <c r="AJ503" s="4">
        <v>111.5</v>
      </c>
      <c r="AK503" s="1">
        <f>Table1[[#This Row],[avg_salary]]*1000</f>
        <v>111500</v>
      </c>
    </row>
    <row r="504" spans="1:37" x14ac:dyDescent="0.3">
      <c r="A504" s="1">
        <v>643</v>
      </c>
      <c r="B504" s="1" t="s">
        <v>28</v>
      </c>
      <c r="C504" s="1" t="s">
        <v>1108</v>
      </c>
      <c r="D504" s="4">
        <v>71000</v>
      </c>
      <c r="E504" s="4">
        <v>124000</v>
      </c>
      <c r="F504" s="4">
        <v>97500</v>
      </c>
      <c r="G504" s="1" t="s">
        <v>1183</v>
      </c>
      <c r="H504" t="s">
        <v>1183</v>
      </c>
      <c r="I504" s="1" t="s">
        <v>1184</v>
      </c>
      <c r="J504" s="1" t="s">
        <v>780</v>
      </c>
      <c r="K504" s="1" t="s">
        <v>681</v>
      </c>
      <c r="L504" s="1" t="s">
        <v>653</v>
      </c>
      <c r="M504" s="1" t="s">
        <v>54</v>
      </c>
      <c r="N504" s="1" t="s">
        <v>682</v>
      </c>
      <c r="O504" s="1" t="s">
        <v>56</v>
      </c>
      <c r="P504">
        <v>18</v>
      </c>
      <c r="Q504" s="1">
        <v>1</v>
      </c>
      <c r="R504" s="1">
        <v>0</v>
      </c>
      <c r="S504" s="1">
        <v>0</v>
      </c>
      <c r="T504" s="1">
        <v>1</v>
      </c>
      <c r="U504" s="1">
        <v>1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 t="s">
        <v>33</v>
      </c>
      <c r="AH504" s="1" t="str">
        <f t="shared" si="7"/>
        <v>Jr</v>
      </c>
      <c r="AI504" t="s">
        <v>72</v>
      </c>
      <c r="AJ504" s="4">
        <v>97.5</v>
      </c>
      <c r="AK504" s="1">
        <f>Table1[[#This Row],[avg_salary]]*1000</f>
        <v>97500</v>
      </c>
    </row>
    <row r="505" spans="1:37" x14ac:dyDescent="0.3">
      <c r="A505" s="1">
        <v>644</v>
      </c>
      <c r="B505" s="1" t="s">
        <v>532</v>
      </c>
      <c r="C505" s="1" t="s">
        <v>1021</v>
      </c>
      <c r="D505" s="4">
        <v>113000</v>
      </c>
      <c r="E505" s="4">
        <v>196000</v>
      </c>
      <c r="F505" s="4">
        <v>154500</v>
      </c>
      <c r="G505" s="1" t="s">
        <v>1195</v>
      </c>
      <c r="H505" t="s">
        <v>1441</v>
      </c>
      <c r="I505" s="1" t="s">
        <v>1196</v>
      </c>
      <c r="J505" s="1" t="s">
        <v>781</v>
      </c>
      <c r="K505" s="1" t="s">
        <v>89</v>
      </c>
      <c r="L505" s="1" t="s">
        <v>89</v>
      </c>
      <c r="M505" s="1" t="s">
        <v>84</v>
      </c>
      <c r="N505" s="1" t="s">
        <v>90</v>
      </c>
      <c r="O505" s="1" t="s">
        <v>91</v>
      </c>
      <c r="P505">
        <v>37</v>
      </c>
      <c r="Q505" s="1">
        <v>0</v>
      </c>
      <c r="R505" s="1">
        <v>1</v>
      </c>
      <c r="S505" s="1">
        <v>1</v>
      </c>
      <c r="T505" s="1">
        <v>1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1</v>
      </c>
      <c r="AB505" s="1">
        <v>0</v>
      </c>
      <c r="AC505" s="1">
        <v>0</v>
      </c>
      <c r="AD505" s="1">
        <v>0</v>
      </c>
      <c r="AE505" s="1">
        <v>1</v>
      </c>
      <c r="AF505" s="1">
        <v>0</v>
      </c>
      <c r="AG505" s="1" t="s">
        <v>98</v>
      </c>
      <c r="AH505" s="1" t="str">
        <f t="shared" si="7"/>
        <v>Sr</v>
      </c>
      <c r="AI505" t="s">
        <v>34</v>
      </c>
      <c r="AJ505" s="4">
        <v>154.5</v>
      </c>
      <c r="AK505" s="1">
        <f>Table1[[#This Row],[avg_salary]]*1000</f>
        <v>154500</v>
      </c>
    </row>
    <row r="506" spans="1:37" x14ac:dyDescent="0.3">
      <c r="A506" s="1">
        <v>645</v>
      </c>
      <c r="B506" s="1" t="s">
        <v>409</v>
      </c>
      <c r="C506" s="1" t="s">
        <v>900</v>
      </c>
      <c r="D506" s="4">
        <v>81000</v>
      </c>
      <c r="E506" s="4">
        <v>167000</v>
      </c>
      <c r="F506" s="4">
        <v>124000</v>
      </c>
      <c r="G506" s="1" t="s">
        <v>1252</v>
      </c>
      <c r="H506" t="s">
        <v>1453</v>
      </c>
      <c r="I506" s="1" t="s">
        <v>1241</v>
      </c>
      <c r="J506" s="1" t="s">
        <v>322</v>
      </c>
      <c r="K506" s="1" t="s">
        <v>323</v>
      </c>
      <c r="L506" s="1" t="s">
        <v>255</v>
      </c>
      <c r="M506" s="1" t="s">
        <v>54</v>
      </c>
      <c r="N506" s="1" t="s">
        <v>324</v>
      </c>
      <c r="O506" s="1" t="s">
        <v>194</v>
      </c>
      <c r="P506">
        <v>28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 t="s">
        <v>306</v>
      </c>
      <c r="AH506" s="1" t="str">
        <f t="shared" si="7"/>
        <v>Sr</v>
      </c>
      <c r="AI506" t="s">
        <v>72</v>
      </c>
      <c r="AJ506" s="4">
        <v>124</v>
      </c>
      <c r="AK506" s="1">
        <f>Table1[[#This Row],[avg_salary]]*1000</f>
        <v>124000</v>
      </c>
    </row>
    <row r="507" spans="1:37" x14ac:dyDescent="0.3">
      <c r="A507" s="1">
        <v>646</v>
      </c>
      <c r="B507" s="1" t="s">
        <v>28</v>
      </c>
      <c r="C507" s="1" t="s">
        <v>1109</v>
      </c>
      <c r="D507" s="4">
        <v>69000</v>
      </c>
      <c r="E507" s="4">
        <v>121000</v>
      </c>
      <c r="F507" s="4">
        <v>95000</v>
      </c>
      <c r="G507" s="1" t="s">
        <v>1183</v>
      </c>
      <c r="H507" t="s">
        <v>1183</v>
      </c>
      <c r="I507" s="1" t="s">
        <v>1184</v>
      </c>
      <c r="J507" s="1" t="s">
        <v>780</v>
      </c>
      <c r="K507" s="1" t="s">
        <v>37</v>
      </c>
      <c r="L507" s="1" t="s">
        <v>38</v>
      </c>
      <c r="M507" s="1" t="s">
        <v>54</v>
      </c>
      <c r="N507" s="1" t="s">
        <v>683</v>
      </c>
      <c r="O507" s="1" t="s">
        <v>56</v>
      </c>
      <c r="P507">
        <v>39</v>
      </c>
      <c r="Q507" s="1">
        <v>1</v>
      </c>
      <c r="R507" s="1">
        <v>1</v>
      </c>
      <c r="S507" s="1">
        <v>1</v>
      </c>
      <c r="T507" s="1">
        <v>0</v>
      </c>
      <c r="U507" s="1">
        <v>1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 t="s">
        <v>33</v>
      </c>
      <c r="AH507" s="1" t="str">
        <f t="shared" si="7"/>
        <v>Jr</v>
      </c>
      <c r="AI507" t="s">
        <v>72</v>
      </c>
      <c r="AJ507" s="4">
        <v>95</v>
      </c>
      <c r="AK507" s="1">
        <f>Table1[[#This Row],[avg_salary]]*1000</f>
        <v>95000</v>
      </c>
    </row>
    <row r="508" spans="1:37" x14ac:dyDescent="0.3">
      <c r="A508" s="1">
        <v>647</v>
      </c>
      <c r="B508" s="1" t="s">
        <v>148</v>
      </c>
      <c r="C508" s="1" t="s">
        <v>1022</v>
      </c>
      <c r="D508" s="4">
        <v>97000</v>
      </c>
      <c r="E508" s="4">
        <v>160000</v>
      </c>
      <c r="F508" s="4">
        <v>128500</v>
      </c>
      <c r="G508" s="1" t="s">
        <v>1203</v>
      </c>
      <c r="H508" t="s">
        <v>1444</v>
      </c>
      <c r="I508" s="1" t="s">
        <v>1204</v>
      </c>
      <c r="J508" s="1" t="s">
        <v>780</v>
      </c>
      <c r="K508" s="1" t="s">
        <v>64</v>
      </c>
      <c r="L508" s="1" t="s">
        <v>43</v>
      </c>
      <c r="M508" s="1" t="s">
        <v>30</v>
      </c>
      <c r="N508" s="1" t="s">
        <v>297</v>
      </c>
      <c r="O508" s="1" t="s">
        <v>120</v>
      </c>
      <c r="P508">
        <v>24</v>
      </c>
      <c r="Q508" s="1">
        <v>1</v>
      </c>
      <c r="R508" s="1">
        <v>0</v>
      </c>
      <c r="S508" s="1">
        <v>1</v>
      </c>
      <c r="T508" s="1">
        <v>1</v>
      </c>
      <c r="U508" s="1">
        <v>1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1</v>
      </c>
      <c r="AB508" s="1">
        <v>1</v>
      </c>
      <c r="AC508" s="1">
        <v>0</v>
      </c>
      <c r="AD508" s="1">
        <v>0</v>
      </c>
      <c r="AE508" s="1">
        <v>0</v>
      </c>
      <c r="AF508" s="1">
        <v>0</v>
      </c>
      <c r="AG508" s="1" t="s">
        <v>33</v>
      </c>
      <c r="AH508" s="1" t="str">
        <f t="shared" si="7"/>
        <v>Sr</v>
      </c>
      <c r="AI508" t="s">
        <v>34</v>
      </c>
      <c r="AJ508" s="4">
        <v>128.5</v>
      </c>
      <c r="AK508" s="1">
        <f>Table1[[#This Row],[avg_salary]]*1000</f>
        <v>128500</v>
      </c>
    </row>
    <row r="509" spans="1:37" x14ac:dyDescent="0.3">
      <c r="A509" s="1">
        <v>648</v>
      </c>
      <c r="B509" s="1" t="s">
        <v>675</v>
      </c>
      <c r="C509" s="1" t="s">
        <v>1110</v>
      </c>
      <c r="D509" s="4">
        <v>150000</v>
      </c>
      <c r="E509" s="4">
        <v>238000</v>
      </c>
      <c r="F509" s="4">
        <v>194000</v>
      </c>
      <c r="G509" s="1" t="s">
        <v>1200</v>
      </c>
      <c r="H509" t="s">
        <v>1439</v>
      </c>
      <c r="I509" s="1" t="s">
        <v>1189</v>
      </c>
      <c r="J509" s="1" t="s">
        <v>93</v>
      </c>
      <c r="K509" s="1" t="s">
        <v>103</v>
      </c>
      <c r="L509" s="1" t="s">
        <v>74</v>
      </c>
      <c r="M509" s="1" t="s">
        <v>54</v>
      </c>
      <c r="N509" s="1" t="s">
        <v>684</v>
      </c>
      <c r="O509" s="1" t="s">
        <v>67</v>
      </c>
      <c r="P509">
        <v>25</v>
      </c>
      <c r="Q509" s="1">
        <v>0</v>
      </c>
      <c r="R509" s="1">
        <v>0</v>
      </c>
      <c r="S509" s="1">
        <v>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 t="s">
        <v>33</v>
      </c>
      <c r="AH509" s="1" t="str">
        <f t="shared" si="7"/>
        <v>Sr</v>
      </c>
      <c r="AI509" t="s">
        <v>34</v>
      </c>
      <c r="AJ509" s="4">
        <v>194</v>
      </c>
      <c r="AK509" s="1">
        <f>Table1[[#This Row],[avg_salary]]*1000</f>
        <v>194000</v>
      </c>
    </row>
    <row r="510" spans="1:37" x14ac:dyDescent="0.3">
      <c r="A510" s="1">
        <v>651</v>
      </c>
      <c r="B510" s="1" t="s">
        <v>28</v>
      </c>
      <c r="C510" s="1" t="s">
        <v>1111</v>
      </c>
      <c r="D510" s="4">
        <v>77000</v>
      </c>
      <c r="E510" s="4">
        <v>132000</v>
      </c>
      <c r="F510" s="4">
        <v>104500</v>
      </c>
      <c r="G510" s="1" t="s">
        <v>1183</v>
      </c>
      <c r="H510" t="s">
        <v>1183</v>
      </c>
      <c r="I510" s="1" t="s">
        <v>1184</v>
      </c>
      <c r="J510" s="1" t="s">
        <v>781</v>
      </c>
      <c r="K510" s="1" t="s">
        <v>53</v>
      </c>
      <c r="L510" s="1" t="s">
        <v>43</v>
      </c>
      <c r="M510" s="1" t="s">
        <v>54</v>
      </c>
      <c r="N510" s="1" t="s">
        <v>685</v>
      </c>
      <c r="O510" s="1" t="s">
        <v>56</v>
      </c>
      <c r="P510">
        <v>40</v>
      </c>
      <c r="Q510" s="1">
        <v>1</v>
      </c>
      <c r="R510" s="1">
        <v>1</v>
      </c>
      <c r="S510" s="1">
        <v>1</v>
      </c>
      <c r="T510" s="1">
        <v>1</v>
      </c>
      <c r="U510" s="1">
        <v>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 t="s">
        <v>33</v>
      </c>
      <c r="AH510" s="1" t="str">
        <f t="shared" si="7"/>
        <v>Jr</v>
      </c>
      <c r="AI510" t="s">
        <v>34</v>
      </c>
      <c r="AJ510" s="4">
        <v>104.5</v>
      </c>
      <c r="AK510" s="1">
        <f>Table1[[#This Row],[avg_salary]]*1000</f>
        <v>104500</v>
      </c>
    </row>
    <row r="511" spans="1:37" x14ac:dyDescent="0.3">
      <c r="A511" s="1">
        <v>652</v>
      </c>
      <c r="B511" s="1" t="s">
        <v>533</v>
      </c>
      <c r="C511" s="1" t="s">
        <v>1429</v>
      </c>
      <c r="D511" s="4">
        <v>49000</v>
      </c>
      <c r="E511" s="4">
        <v>81000</v>
      </c>
      <c r="F511" s="4">
        <v>65000</v>
      </c>
      <c r="G511" s="1" t="s">
        <v>1357</v>
      </c>
      <c r="H511" t="s">
        <v>1443</v>
      </c>
      <c r="I511" s="1" t="s">
        <v>1202</v>
      </c>
      <c r="J511" s="1" t="s">
        <v>69</v>
      </c>
      <c r="K511" s="1" t="s">
        <v>37</v>
      </c>
      <c r="L511" s="1" t="s">
        <v>38</v>
      </c>
      <c r="M511" s="1" t="s">
        <v>44</v>
      </c>
      <c r="N511" s="1" t="s">
        <v>534</v>
      </c>
      <c r="O511" s="1" t="s">
        <v>111</v>
      </c>
      <c r="P511">
        <v>53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 t="s">
        <v>71</v>
      </c>
      <c r="AH511" s="1" t="str">
        <f t="shared" si="7"/>
        <v>Jr</v>
      </c>
      <c r="AI511" t="s">
        <v>34</v>
      </c>
      <c r="AJ511" s="4">
        <v>65</v>
      </c>
      <c r="AK511" s="1">
        <f>Table1[[#This Row],[avg_salary]]*1000</f>
        <v>65000</v>
      </c>
    </row>
    <row r="512" spans="1:37" x14ac:dyDescent="0.3">
      <c r="A512" s="1">
        <v>653</v>
      </c>
      <c r="B512" s="1" t="s">
        <v>686</v>
      </c>
      <c r="C512" s="1" t="s">
        <v>1112</v>
      </c>
      <c r="D512" s="4">
        <v>59000</v>
      </c>
      <c r="E512" s="4">
        <v>112000</v>
      </c>
      <c r="F512" s="4">
        <v>85500</v>
      </c>
      <c r="G512" s="1" t="s">
        <v>1270</v>
      </c>
      <c r="H512" t="s">
        <v>1458</v>
      </c>
      <c r="I512" s="1" t="s">
        <v>1271</v>
      </c>
      <c r="J512" s="1" t="s">
        <v>780</v>
      </c>
      <c r="K512" s="1" t="s">
        <v>143</v>
      </c>
      <c r="L512" s="1" t="s">
        <v>74</v>
      </c>
      <c r="M512" s="1" t="s">
        <v>54</v>
      </c>
      <c r="N512" s="1" t="s">
        <v>144</v>
      </c>
      <c r="O512" s="1" t="s">
        <v>259</v>
      </c>
      <c r="P512">
        <v>39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 t="s">
        <v>98</v>
      </c>
      <c r="AH512" s="1" t="str">
        <f t="shared" si="7"/>
        <v>Jr</v>
      </c>
      <c r="AI512" t="s">
        <v>34</v>
      </c>
      <c r="AJ512" s="4">
        <v>85.5</v>
      </c>
      <c r="AK512" s="1">
        <f>Table1[[#This Row],[avg_salary]]*1000</f>
        <v>85500</v>
      </c>
    </row>
    <row r="513" spans="1:37" x14ac:dyDescent="0.3">
      <c r="A513" s="1">
        <v>654</v>
      </c>
      <c r="B513" s="1" t="s">
        <v>687</v>
      </c>
      <c r="C513" s="1" t="s">
        <v>1113</v>
      </c>
      <c r="D513" s="4">
        <v>35000</v>
      </c>
      <c r="E513" s="4">
        <v>65000</v>
      </c>
      <c r="F513" s="4">
        <v>50000</v>
      </c>
      <c r="G513" s="1" t="s">
        <v>1312</v>
      </c>
      <c r="H513" t="s">
        <v>1462</v>
      </c>
      <c r="I513" s="1" t="s">
        <v>1293</v>
      </c>
      <c r="J513" s="1" t="s">
        <v>107</v>
      </c>
      <c r="K513" s="1" t="s">
        <v>315</v>
      </c>
      <c r="L513" s="1" t="s">
        <v>316</v>
      </c>
      <c r="M513" s="1" t="s">
        <v>54</v>
      </c>
      <c r="N513" s="1" t="s">
        <v>317</v>
      </c>
      <c r="O513" s="1" t="s">
        <v>318</v>
      </c>
      <c r="P513">
        <v>25</v>
      </c>
      <c r="Q513" s="1">
        <v>0</v>
      </c>
      <c r="R513" s="1">
        <v>0</v>
      </c>
      <c r="S513" s="1">
        <v>1</v>
      </c>
      <c r="T513" s="1">
        <v>1</v>
      </c>
      <c r="U513" s="1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 t="s">
        <v>88</v>
      </c>
      <c r="AH513" s="1" t="str">
        <f t="shared" si="7"/>
        <v>Jr</v>
      </c>
      <c r="AI513" t="s">
        <v>34</v>
      </c>
      <c r="AJ513" s="4">
        <v>50</v>
      </c>
      <c r="AK513" s="1">
        <f>Table1[[#This Row],[avg_salary]]*1000</f>
        <v>50000</v>
      </c>
    </row>
    <row r="514" spans="1:37" x14ac:dyDescent="0.3">
      <c r="A514" s="1">
        <v>655</v>
      </c>
      <c r="B514" s="1" t="s">
        <v>150</v>
      </c>
      <c r="C514" s="1" t="s">
        <v>1114</v>
      </c>
      <c r="D514" s="4">
        <v>79000</v>
      </c>
      <c r="E514" s="4">
        <v>147000</v>
      </c>
      <c r="F514" s="4">
        <v>113000</v>
      </c>
      <c r="G514" s="1" t="s">
        <v>1388</v>
      </c>
      <c r="H514" t="s">
        <v>1439</v>
      </c>
      <c r="I514" s="1" t="s">
        <v>1189</v>
      </c>
      <c r="J514" s="1" t="s">
        <v>781</v>
      </c>
      <c r="K514" s="1" t="s">
        <v>432</v>
      </c>
      <c r="L514" s="1" t="s">
        <v>95</v>
      </c>
      <c r="M514" s="1" t="s">
        <v>84</v>
      </c>
      <c r="N514" s="1" t="s">
        <v>433</v>
      </c>
      <c r="O514" s="1" t="s">
        <v>67</v>
      </c>
      <c r="P514">
        <v>36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1</v>
      </c>
      <c r="AF514" s="1">
        <v>0</v>
      </c>
      <c r="AG514" s="1" t="s">
        <v>98</v>
      </c>
      <c r="AH514" s="1" t="str">
        <f t="shared" ref="AH514:AH577" si="8">IF(VALUE(AJ514) &gt;= 114, "Sr", "Jr")</f>
        <v>Jr</v>
      </c>
      <c r="AI514" t="s">
        <v>72</v>
      </c>
      <c r="AJ514" s="4">
        <v>113</v>
      </c>
      <c r="AK514" s="1">
        <f>Table1[[#This Row],[avg_salary]]*1000</f>
        <v>113000</v>
      </c>
    </row>
    <row r="515" spans="1:37" x14ac:dyDescent="0.3">
      <c r="A515" s="1">
        <v>658</v>
      </c>
      <c r="B515" s="1" t="s">
        <v>688</v>
      </c>
      <c r="C515" s="1" t="s">
        <v>997</v>
      </c>
      <c r="D515" s="4">
        <v>62000</v>
      </c>
      <c r="E515" s="4">
        <v>119000</v>
      </c>
      <c r="F515" s="4">
        <v>90500</v>
      </c>
      <c r="G515" s="1" t="s">
        <v>1195</v>
      </c>
      <c r="H515" t="s">
        <v>1441</v>
      </c>
      <c r="I515" s="1" t="s">
        <v>1196</v>
      </c>
      <c r="J515" s="1" t="s">
        <v>781</v>
      </c>
      <c r="K515" s="1" t="s">
        <v>89</v>
      </c>
      <c r="L515" s="1" t="s">
        <v>89</v>
      </c>
      <c r="M515" s="1" t="s">
        <v>84</v>
      </c>
      <c r="N515" s="1" t="s">
        <v>689</v>
      </c>
      <c r="O515" s="1" t="s">
        <v>91</v>
      </c>
      <c r="P515">
        <v>20</v>
      </c>
      <c r="Q515" s="1">
        <v>0</v>
      </c>
      <c r="R515" s="1">
        <v>0</v>
      </c>
      <c r="S515" s="1">
        <v>1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 t="s">
        <v>71</v>
      </c>
      <c r="AH515" s="1" t="str">
        <f t="shared" si="8"/>
        <v>Jr</v>
      </c>
      <c r="AI515" t="s">
        <v>34</v>
      </c>
      <c r="AJ515" s="4">
        <v>90.5</v>
      </c>
      <c r="AK515" s="1">
        <f>Table1[[#This Row],[avg_salary]]*1000</f>
        <v>90500</v>
      </c>
    </row>
    <row r="516" spans="1:37" x14ac:dyDescent="0.3">
      <c r="A516" s="1">
        <v>660</v>
      </c>
      <c r="B516" s="1" t="s">
        <v>148</v>
      </c>
      <c r="C516" s="1" t="s">
        <v>1115</v>
      </c>
      <c r="D516" s="4">
        <v>119000</v>
      </c>
      <c r="E516" s="4">
        <v>187000</v>
      </c>
      <c r="F516" s="4">
        <v>153000</v>
      </c>
      <c r="G516" s="1" t="s">
        <v>1282</v>
      </c>
      <c r="H516" t="s">
        <v>1439</v>
      </c>
      <c r="I516" s="1" t="s">
        <v>1189</v>
      </c>
      <c r="J516" s="1" t="s">
        <v>780</v>
      </c>
      <c r="K516" s="1" t="s">
        <v>145</v>
      </c>
      <c r="L516" s="1" t="s">
        <v>74</v>
      </c>
      <c r="M516" s="1" t="s">
        <v>54</v>
      </c>
      <c r="N516" s="1" t="s">
        <v>690</v>
      </c>
      <c r="O516" s="1" t="s">
        <v>67</v>
      </c>
      <c r="P516">
        <v>40</v>
      </c>
      <c r="Q516" s="1">
        <v>1</v>
      </c>
      <c r="R516" s="1">
        <v>1</v>
      </c>
      <c r="S516" s="1">
        <v>0</v>
      </c>
      <c r="T516" s="1">
        <v>1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 t="s">
        <v>33</v>
      </c>
      <c r="AH516" s="1" t="str">
        <f t="shared" si="8"/>
        <v>Sr</v>
      </c>
      <c r="AI516" t="s">
        <v>34</v>
      </c>
      <c r="AJ516" s="4">
        <v>153</v>
      </c>
      <c r="AK516" s="1">
        <f>Table1[[#This Row],[avg_salary]]*1000</f>
        <v>153000</v>
      </c>
    </row>
    <row r="517" spans="1:37" x14ac:dyDescent="0.3">
      <c r="A517" s="1">
        <v>661</v>
      </c>
      <c r="B517" s="1" t="s">
        <v>691</v>
      </c>
      <c r="C517" s="1" t="s">
        <v>1116</v>
      </c>
      <c r="D517" s="4">
        <v>90000</v>
      </c>
      <c r="E517" s="4">
        <v>157000</v>
      </c>
      <c r="F517" s="4">
        <v>123500</v>
      </c>
      <c r="G517" s="1" t="s">
        <v>1389</v>
      </c>
      <c r="H517" t="s">
        <v>1439</v>
      </c>
      <c r="I517" s="1" t="s">
        <v>1189</v>
      </c>
      <c r="J517" s="1" t="s">
        <v>781</v>
      </c>
      <c r="K517" s="1" t="s">
        <v>64</v>
      </c>
      <c r="L517" s="1" t="s">
        <v>43</v>
      </c>
      <c r="M517" s="1" t="s">
        <v>39</v>
      </c>
      <c r="N517" s="1" t="s">
        <v>692</v>
      </c>
      <c r="O517" s="1" t="s">
        <v>67</v>
      </c>
      <c r="P517">
        <v>41</v>
      </c>
      <c r="Q517" s="1">
        <v>0</v>
      </c>
      <c r="R517" s="1">
        <v>0</v>
      </c>
      <c r="S517" s="1">
        <v>0</v>
      </c>
      <c r="T517" s="1">
        <v>1</v>
      </c>
      <c r="U517" s="1">
        <v>1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</v>
      </c>
      <c r="AC517" s="1">
        <v>0</v>
      </c>
      <c r="AD517" s="1">
        <v>0</v>
      </c>
      <c r="AE517" s="1">
        <v>1</v>
      </c>
      <c r="AF517" s="1">
        <v>0</v>
      </c>
      <c r="AG517" s="1" t="s">
        <v>88</v>
      </c>
      <c r="AH517" s="1" t="str">
        <f t="shared" si="8"/>
        <v>Sr</v>
      </c>
      <c r="AI517" t="s">
        <v>34</v>
      </c>
      <c r="AJ517" s="4">
        <v>123.5</v>
      </c>
      <c r="AK517" s="1">
        <f>Table1[[#This Row],[avg_salary]]*1000</f>
        <v>123500</v>
      </c>
    </row>
    <row r="518" spans="1:37" x14ac:dyDescent="0.3">
      <c r="A518" s="1">
        <v>662</v>
      </c>
      <c r="B518" s="1" t="s">
        <v>693</v>
      </c>
      <c r="C518" s="1" t="s">
        <v>1117</v>
      </c>
      <c r="D518" s="4">
        <v>32000</v>
      </c>
      <c r="E518" s="4">
        <v>62000</v>
      </c>
      <c r="F518" s="4">
        <v>47000</v>
      </c>
      <c r="G518" s="1" t="s">
        <v>1183</v>
      </c>
      <c r="H518" t="s">
        <v>1183</v>
      </c>
      <c r="I518" s="1" t="s">
        <v>1184</v>
      </c>
      <c r="J518" s="1" t="s">
        <v>780</v>
      </c>
      <c r="K518" s="1" t="s">
        <v>73</v>
      </c>
      <c r="L518" s="1" t="s">
        <v>74</v>
      </c>
      <c r="M518" s="1" t="s">
        <v>121</v>
      </c>
      <c r="N518" s="1" t="s">
        <v>694</v>
      </c>
      <c r="O518" s="1" t="s">
        <v>56</v>
      </c>
      <c r="P518">
        <v>43</v>
      </c>
      <c r="Q518" s="1">
        <v>0</v>
      </c>
      <c r="R518" s="1">
        <v>1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 t="s">
        <v>88</v>
      </c>
      <c r="AH518" s="1" t="str">
        <f t="shared" si="8"/>
        <v>Jr</v>
      </c>
      <c r="AI518" t="s">
        <v>34</v>
      </c>
      <c r="AJ518" s="4">
        <v>47</v>
      </c>
      <c r="AK518" s="1">
        <f>Table1[[#This Row],[avg_salary]]*1000</f>
        <v>47000</v>
      </c>
    </row>
    <row r="519" spans="1:37" x14ac:dyDescent="0.3">
      <c r="A519" s="1">
        <v>663</v>
      </c>
      <c r="B519" s="1" t="s">
        <v>410</v>
      </c>
      <c r="C519" s="1" t="s">
        <v>944</v>
      </c>
      <c r="D519" s="4">
        <v>42000</v>
      </c>
      <c r="E519" s="4">
        <v>86000</v>
      </c>
      <c r="F519" s="4">
        <v>64000</v>
      </c>
      <c r="G519" s="1" t="s">
        <v>1318</v>
      </c>
      <c r="H519" t="s">
        <v>1439</v>
      </c>
      <c r="I519" s="1" t="s">
        <v>1189</v>
      </c>
      <c r="J519" s="1" t="s">
        <v>107</v>
      </c>
      <c r="K519" s="1" t="s">
        <v>37</v>
      </c>
      <c r="L519" s="1" t="s">
        <v>38</v>
      </c>
      <c r="M519" s="1" t="s">
        <v>50</v>
      </c>
      <c r="N519" s="1" t="s">
        <v>411</v>
      </c>
      <c r="O519" s="1" t="s">
        <v>67</v>
      </c>
      <c r="P519">
        <v>48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 t="s">
        <v>295</v>
      </c>
      <c r="AH519" s="1" t="str">
        <f t="shared" si="8"/>
        <v>Jr</v>
      </c>
      <c r="AI519" t="s">
        <v>34</v>
      </c>
      <c r="AJ519" s="4">
        <v>64</v>
      </c>
      <c r="AK519" s="1">
        <f>Table1[[#This Row],[avg_salary]]*1000</f>
        <v>64000</v>
      </c>
    </row>
    <row r="520" spans="1:37" x14ac:dyDescent="0.3">
      <c r="A520" s="1">
        <v>664</v>
      </c>
      <c r="B520" s="1" t="s">
        <v>695</v>
      </c>
      <c r="C520" s="1" t="s">
        <v>1118</v>
      </c>
      <c r="D520" s="4">
        <v>116000</v>
      </c>
      <c r="E520" s="4">
        <v>208000</v>
      </c>
      <c r="F520" s="4">
        <v>162000</v>
      </c>
      <c r="G520" s="1" t="s">
        <v>1188</v>
      </c>
      <c r="H520" t="s">
        <v>1439</v>
      </c>
      <c r="I520" s="1" t="s">
        <v>1189</v>
      </c>
      <c r="J520" s="1" t="s">
        <v>781</v>
      </c>
      <c r="K520" s="1" t="s">
        <v>145</v>
      </c>
      <c r="L520" s="1" t="s">
        <v>74</v>
      </c>
      <c r="M520" s="1" t="s">
        <v>130</v>
      </c>
      <c r="N520" s="1" t="s">
        <v>696</v>
      </c>
      <c r="O520" s="1" t="s">
        <v>67</v>
      </c>
      <c r="P520">
        <v>54</v>
      </c>
      <c r="Q520" s="1">
        <v>1</v>
      </c>
      <c r="R520" s="1">
        <v>0</v>
      </c>
      <c r="S520" s="1">
        <v>0</v>
      </c>
      <c r="T520" s="1">
        <v>1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1</v>
      </c>
      <c r="AB520" s="1">
        <v>1</v>
      </c>
      <c r="AC520" s="1">
        <v>1</v>
      </c>
      <c r="AD520" s="1">
        <v>0</v>
      </c>
      <c r="AE520" s="1">
        <v>0</v>
      </c>
      <c r="AF520" s="1">
        <v>0</v>
      </c>
      <c r="AG520" s="1" t="s">
        <v>33</v>
      </c>
      <c r="AH520" s="1" t="str">
        <f t="shared" si="8"/>
        <v>Sr</v>
      </c>
      <c r="AI520" t="s">
        <v>34</v>
      </c>
      <c r="AJ520" s="4">
        <v>162</v>
      </c>
      <c r="AK520" s="1">
        <f>Table1[[#This Row],[avg_salary]]*1000</f>
        <v>162000</v>
      </c>
    </row>
    <row r="521" spans="1:37" x14ac:dyDescent="0.3">
      <c r="A521" s="1">
        <v>665</v>
      </c>
      <c r="B521" s="1" t="s">
        <v>535</v>
      </c>
      <c r="C521" s="1" t="s">
        <v>1023</v>
      </c>
      <c r="D521" s="4">
        <v>102000</v>
      </c>
      <c r="E521" s="4">
        <v>172000</v>
      </c>
      <c r="F521" s="4">
        <v>137000</v>
      </c>
      <c r="G521" s="1" t="s">
        <v>1183</v>
      </c>
      <c r="H521" t="s">
        <v>1183</v>
      </c>
      <c r="I521" s="1" t="s">
        <v>1184</v>
      </c>
      <c r="J521" s="1" t="s">
        <v>781</v>
      </c>
      <c r="K521" s="1" t="s">
        <v>89</v>
      </c>
      <c r="L521" s="1" t="s">
        <v>89</v>
      </c>
      <c r="M521" s="1" t="s">
        <v>84</v>
      </c>
      <c r="N521" s="1" t="s">
        <v>536</v>
      </c>
      <c r="O521" s="1" t="s">
        <v>56</v>
      </c>
      <c r="P521">
        <v>27</v>
      </c>
      <c r="Q521" s="1">
        <v>1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 t="s">
        <v>33</v>
      </c>
      <c r="AH521" s="1" t="str">
        <f t="shared" si="8"/>
        <v>Sr</v>
      </c>
      <c r="AI521" t="s">
        <v>72</v>
      </c>
      <c r="AJ521" s="4">
        <v>137</v>
      </c>
      <c r="AK521" s="1">
        <f>Table1[[#This Row],[avg_salary]]*1000</f>
        <v>137000</v>
      </c>
    </row>
    <row r="522" spans="1:37" x14ac:dyDescent="0.3">
      <c r="A522" s="1">
        <v>666</v>
      </c>
      <c r="B522" s="1" t="s">
        <v>412</v>
      </c>
      <c r="C522" s="1" t="s">
        <v>945</v>
      </c>
      <c r="D522" s="4">
        <v>69000</v>
      </c>
      <c r="E522" s="4">
        <v>127000</v>
      </c>
      <c r="F522" s="4">
        <v>98000</v>
      </c>
      <c r="G522" s="1" t="s">
        <v>1319</v>
      </c>
      <c r="H522" t="s">
        <v>1463</v>
      </c>
      <c r="I522" s="1" t="s">
        <v>1295</v>
      </c>
      <c r="J522" s="1" t="s">
        <v>780</v>
      </c>
      <c r="K522" s="1" t="s">
        <v>413</v>
      </c>
      <c r="L522" s="1" t="s">
        <v>77</v>
      </c>
      <c r="M522" s="1" t="s">
        <v>84</v>
      </c>
      <c r="N522" s="1" t="s">
        <v>414</v>
      </c>
      <c r="O522" s="1" t="s">
        <v>331</v>
      </c>
      <c r="P522">
        <v>21</v>
      </c>
      <c r="Q522" s="1">
        <v>1</v>
      </c>
      <c r="R522" s="1">
        <v>0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 t="s">
        <v>98</v>
      </c>
      <c r="AH522" s="1" t="str">
        <f t="shared" si="8"/>
        <v>Jr</v>
      </c>
      <c r="AI522" t="s">
        <v>34</v>
      </c>
      <c r="AJ522" s="4">
        <v>98</v>
      </c>
      <c r="AK522" s="1">
        <f>Table1[[#This Row],[avg_salary]]*1000</f>
        <v>98000</v>
      </c>
    </row>
    <row r="523" spans="1:37" x14ac:dyDescent="0.3">
      <c r="A523" s="1">
        <v>668</v>
      </c>
      <c r="B523" s="1" t="s">
        <v>28</v>
      </c>
      <c r="C523" s="1" t="s">
        <v>827</v>
      </c>
      <c r="D523" s="4">
        <v>86000</v>
      </c>
      <c r="E523" s="4">
        <v>144000</v>
      </c>
      <c r="F523" s="4">
        <v>115000</v>
      </c>
      <c r="G523" s="1" t="s">
        <v>1234</v>
      </c>
      <c r="H523" t="s">
        <v>1183</v>
      </c>
      <c r="I523" s="1" t="s">
        <v>1184</v>
      </c>
      <c r="J523" s="1" t="s">
        <v>781</v>
      </c>
      <c r="K523" s="1" t="s">
        <v>114</v>
      </c>
      <c r="L523" s="1" t="s">
        <v>109</v>
      </c>
      <c r="M523" s="1" t="s">
        <v>84</v>
      </c>
      <c r="N523" s="1" t="s">
        <v>178</v>
      </c>
      <c r="O523" s="1" t="s">
        <v>56</v>
      </c>
      <c r="P523">
        <v>30</v>
      </c>
      <c r="Q523" s="1">
        <v>1</v>
      </c>
      <c r="R523" s="1">
        <v>0</v>
      </c>
      <c r="S523" s="1">
        <v>0</v>
      </c>
      <c r="T523" s="1">
        <v>1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 t="s">
        <v>33</v>
      </c>
      <c r="AH523" s="1" t="str">
        <f t="shared" si="8"/>
        <v>Sr</v>
      </c>
      <c r="AI523" t="s">
        <v>34</v>
      </c>
      <c r="AJ523" s="4">
        <v>115</v>
      </c>
      <c r="AK523" s="1">
        <f>Table1[[#This Row],[avg_salary]]*1000</f>
        <v>115000</v>
      </c>
    </row>
    <row r="524" spans="1:37" x14ac:dyDescent="0.3">
      <c r="A524" s="1">
        <v>669</v>
      </c>
      <c r="B524" s="1" t="s">
        <v>148</v>
      </c>
      <c r="C524" s="1" t="s">
        <v>1119</v>
      </c>
      <c r="D524" s="4">
        <v>102000</v>
      </c>
      <c r="E524" s="4">
        <v>165000</v>
      </c>
      <c r="F524" s="4">
        <v>133500</v>
      </c>
      <c r="G524" s="1" t="s">
        <v>1390</v>
      </c>
      <c r="H524" t="s">
        <v>1443</v>
      </c>
      <c r="I524" s="1" t="s">
        <v>1202</v>
      </c>
      <c r="J524" s="1" t="s">
        <v>781</v>
      </c>
      <c r="K524" s="1" t="s">
        <v>89</v>
      </c>
      <c r="L524" s="1" t="s">
        <v>89</v>
      </c>
      <c r="M524" s="1" t="s">
        <v>58</v>
      </c>
      <c r="N524" s="1" t="s">
        <v>149</v>
      </c>
      <c r="O524" s="1" t="s">
        <v>111</v>
      </c>
      <c r="P524">
        <v>44</v>
      </c>
      <c r="Q524" s="1">
        <v>1</v>
      </c>
      <c r="R524" s="1">
        <v>0</v>
      </c>
      <c r="S524" s="1">
        <v>0</v>
      </c>
      <c r="T524" s="1">
        <v>1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 t="s">
        <v>33</v>
      </c>
      <c r="AH524" s="1" t="str">
        <f t="shared" si="8"/>
        <v>Sr</v>
      </c>
      <c r="AI524" t="s">
        <v>34</v>
      </c>
      <c r="AJ524" s="4">
        <v>133.5</v>
      </c>
      <c r="AK524" s="1">
        <f>Table1[[#This Row],[avg_salary]]*1000</f>
        <v>133500</v>
      </c>
    </row>
    <row r="525" spans="1:37" x14ac:dyDescent="0.3">
      <c r="A525" s="1">
        <v>670</v>
      </c>
      <c r="B525" s="1" t="s">
        <v>150</v>
      </c>
      <c r="C525" s="1" t="s">
        <v>864</v>
      </c>
      <c r="D525" s="4">
        <v>74000</v>
      </c>
      <c r="E525" s="4">
        <v>124000</v>
      </c>
      <c r="F525" s="4">
        <v>99000</v>
      </c>
      <c r="G525" s="1" t="s">
        <v>1201</v>
      </c>
      <c r="H525" t="s">
        <v>1443</v>
      </c>
      <c r="I525" s="1" t="s">
        <v>1202</v>
      </c>
      <c r="J525" s="1" t="s">
        <v>107</v>
      </c>
      <c r="K525" s="1" t="s">
        <v>108</v>
      </c>
      <c r="L525" s="1" t="s">
        <v>109</v>
      </c>
      <c r="M525" s="1" t="s">
        <v>50</v>
      </c>
      <c r="N525" s="1" t="s">
        <v>110</v>
      </c>
      <c r="O525" s="1" t="s">
        <v>111</v>
      </c>
      <c r="P525">
        <v>60</v>
      </c>
      <c r="Q525" s="1">
        <v>1</v>
      </c>
      <c r="R525" s="1">
        <v>0</v>
      </c>
      <c r="S525" s="1">
        <v>1</v>
      </c>
      <c r="T525" s="1">
        <v>0</v>
      </c>
      <c r="U525" s="1">
        <v>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 t="s">
        <v>98</v>
      </c>
      <c r="AH525" s="1" t="str">
        <f t="shared" si="8"/>
        <v>Jr</v>
      </c>
      <c r="AI525" t="s">
        <v>34</v>
      </c>
      <c r="AJ525" s="4">
        <v>99</v>
      </c>
      <c r="AK525" s="1">
        <f>Table1[[#This Row],[avg_salary]]*1000</f>
        <v>99000</v>
      </c>
    </row>
    <row r="526" spans="1:37" x14ac:dyDescent="0.3">
      <c r="A526" s="1">
        <v>671</v>
      </c>
      <c r="B526" s="1" t="s">
        <v>416</v>
      </c>
      <c r="C526" s="1" t="s">
        <v>946</v>
      </c>
      <c r="D526" s="4">
        <v>40000</v>
      </c>
      <c r="E526" s="4">
        <v>68000</v>
      </c>
      <c r="F526" s="4">
        <v>54000</v>
      </c>
      <c r="G526" s="1" t="s">
        <v>1265</v>
      </c>
      <c r="H526" t="s">
        <v>1457</v>
      </c>
      <c r="I526" s="1" t="s">
        <v>1266</v>
      </c>
      <c r="J526" s="1" t="s">
        <v>780</v>
      </c>
      <c r="K526" s="1" t="s">
        <v>407</v>
      </c>
      <c r="L526" s="1" t="s">
        <v>158</v>
      </c>
      <c r="M526" s="1" t="s">
        <v>54</v>
      </c>
      <c r="N526" s="1" t="s">
        <v>417</v>
      </c>
      <c r="O526" s="1" t="s">
        <v>249</v>
      </c>
      <c r="P526">
        <v>25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 t="s">
        <v>71</v>
      </c>
      <c r="AH526" s="1" t="str">
        <f t="shared" si="8"/>
        <v>Jr</v>
      </c>
      <c r="AI526" t="s">
        <v>34</v>
      </c>
      <c r="AJ526" s="4">
        <v>54</v>
      </c>
      <c r="AK526" s="1">
        <f>Table1[[#This Row],[avg_salary]]*1000</f>
        <v>54000</v>
      </c>
    </row>
    <row r="527" spans="1:37" x14ac:dyDescent="0.3">
      <c r="A527" s="1">
        <v>672</v>
      </c>
      <c r="B527" s="1" t="s">
        <v>282</v>
      </c>
      <c r="C527" s="1" t="s">
        <v>1025</v>
      </c>
      <c r="D527" s="4">
        <v>76000</v>
      </c>
      <c r="E527" s="4">
        <v>142000</v>
      </c>
      <c r="F527" s="4">
        <v>109000</v>
      </c>
      <c r="G527" s="1" t="s">
        <v>1391</v>
      </c>
      <c r="H527" t="s">
        <v>1463</v>
      </c>
      <c r="I527" s="1" t="s">
        <v>1295</v>
      </c>
      <c r="J527" s="1" t="s">
        <v>780</v>
      </c>
      <c r="K527" s="1" t="s">
        <v>37</v>
      </c>
      <c r="L527" s="1" t="s">
        <v>38</v>
      </c>
      <c r="M527" s="1" t="s">
        <v>54</v>
      </c>
      <c r="N527" s="1" t="s">
        <v>697</v>
      </c>
      <c r="O527" s="1" t="s">
        <v>331</v>
      </c>
      <c r="P527">
        <v>60</v>
      </c>
      <c r="Q527" s="1">
        <v>0</v>
      </c>
      <c r="R527" s="1">
        <v>0</v>
      </c>
      <c r="S527" s="1">
        <v>1</v>
      </c>
      <c r="T527" s="1">
        <v>1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 t="s">
        <v>98</v>
      </c>
      <c r="AH527" s="1" t="str">
        <f t="shared" si="8"/>
        <v>Jr</v>
      </c>
      <c r="AI527" t="s">
        <v>72</v>
      </c>
      <c r="AJ527" s="4">
        <v>109</v>
      </c>
      <c r="AK527" s="1">
        <f>Table1[[#This Row],[avg_salary]]*1000</f>
        <v>109000</v>
      </c>
    </row>
    <row r="528" spans="1:37" x14ac:dyDescent="0.3">
      <c r="A528" s="1">
        <v>673</v>
      </c>
      <c r="B528" s="1" t="s">
        <v>150</v>
      </c>
      <c r="C528" s="1" t="s">
        <v>1025</v>
      </c>
      <c r="D528" s="4">
        <v>76000</v>
      </c>
      <c r="E528" s="4">
        <v>142000</v>
      </c>
      <c r="F528" s="4">
        <v>109000</v>
      </c>
      <c r="G528" s="1" t="s">
        <v>1279</v>
      </c>
      <c r="H528" t="s">
        <v>1436</v>
      </c>
      <c r="I528" s="1" t="s">
        <v>1178</v>
      </c>
      <c r="J528" s="1" t="s">
        <v>780</v>
      </c>
      <c r="K528" s="1" t="s">
        <v>143</v>
      </c>
      <c r="L528" s="1" t="s">
        <v>74</v>
      </c>
      <c r="M528" s="1" t="s">
        <v>65</v>
      </c>
      <c r="N528" s="1" t="s">
        <v>538</v>
      </c>
      <c r="O528" s="1" t="s">
        <v>41</v>
      </c>
      <c r="P528">
        <v>60</v>
      </c>
      <c r="Q528" s="1">
        <v>0</v>
      </c>
      <c r="R528" s="1">
        <v>0</v>
      </c>
      <c r="S528" s="1">
        <v>1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 t="s">
        <v>98</v>
      </c>
      <c r="AH528" s="1" t="str">
        <f t="shared" si="8"/>
        <v>Jr</v>
      </c>
      <c r="AI528" t="s">
        <v>34</v>
      </c>
      <c r="AJ528" s="4">
        <v>109</v>
      </c>
      <c r="AK528" s="1">
        <f>Table1[[#This Row],[avg_salary]]*1000</f>
        <v>109000</v>
      </c>
    </row>
    <row r="529" spans="1:37" x14ac:dyDescent="0.3">
      <c r="A529" s="1">
        <v>674</v>
      </c>
      <c r="B529" s="1" t="s">
        <v>148</v>
      </c>
      <c r="C529" s="1" t="s">
        <v>1024</v>
      </c>
      <c r="D529" s="4">
        <v>108000</v>
      </c>
      <c r="E529" s="4">
        <v>171000</v>
      </c>
      <c r="F529" s="4">
        <v>139500</v>
      </c>
      <c r="G529" s="1" t="s">
        <v>1358</v>
      </c>
      <c r="H529" t="s">
        <v>1441</v>
      </c>
      <c r="I529" s="1" t="s">
        <v>1196</v>
      </c>
      <c r="J529" s="1" t="s">
        <v>780</v>
      </c>
      <c r="K529" s="1" t="s">
        <v>145</v>
      </c>
      <c r="L529" s="1" t="s">
        <v>74</v>
      </c>
      <c r="M529" s="1" t="s">
        <v>58</v>
      </c>
      <c r="N529" s="1" t="s">
        <v>537</v>
      </c>
      <c r="O529" s="1" t="s">
        <v>91</v>
      </c>
      <c r="P529">
        <v>53</v>
      </c>
      <c r="Q529" s="1">
        <v>1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1</v>
      </c>
      <c r="AC529" s="1">
        <v>1</v>
      </c>
      <c r="AD529" s="1">
        <v>0</v>
      </c>
      <c r="AE529" s="1">
        <v>0</v>
      </c>
      <c r="AF529" s="1">
        <v>0</v>
      </c>
      <c r="AG529" s="1" t="s">
        <v>33</v>
      </c>
      <c r="AH529" s="1" t="str">
        <f t="shared" si="8"/>
        <v>Sr</v>
      </c>
      <c r="AI529" t="s">
        <v>34</v>
      </c>
      <c r="AJ529" s="4">
        <v>139.5</v>
      </c>
      <c r="AK529" s="1">
        <f>Table1[[#This Row],[avg_salary]]*1000</f>
        <v>139500</v>
      </c>
    </row>
    <row r="530" spans="1:37" x14ac:dyDescent="0.3">
      <c r="A530" s="1">
        <v>675</v>
      </c>
      <c r="B530" s="1" t="s">
        <v>539</v>
      </c>
      <c r="C530" s="1" t="s">
        <v>1026</v>
      </c>
      <c r="D530" s="4">
        <v>202000</v>
      </c>
      <c r="E530" s="4">
        <v>306000</v>
      </c>
      <c r="F530" s="4">
        <v>254000</v>
      </c>
      <c r="G530" s="1" t="s">
        <v>1203</v>
      </c>
      <c r="H530" t="s">
        <v>1444</v>
      </c>
      <c r="I530" s="1" t="s">
        <v>1204</v>
      </c>
      <c r="J530" s="1" t="s">
        <v>780</v>
      </c>
      <c r="K530" s="1" t="s">
        <v>108</v>
      </c>
      <c r="L530" s="1" t="s">
        <v>109</v>
      </c>
      <c r="M530" s="1" t="s">
        <v>84</v>
      </c>
      <c r="N530" s="1" t="s">
        <v>174</v>
      </c>
      <c r="O530" s="1" t="s">
        <v>120</v>
      </c>
      <c r="P530">
        <v>38</v>
      </c>
      <c r="Q530" s="1">
        <v>1</v>
      </c>
      <c r="R530" s="1">
        <v>0</v>
      </c>
      <c r="S530" s="1">
        <v>0</v>
      </c>
      <c r="T530" s="1">
        <v>0</v>
      </c>
      <c r="U530" s="1">
        <v>0</v>
      </c>
      <c r="V530" s="1">
        <v>1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 t="s">
        <v>33</v>
      </c>
      <c r="AH530" s="1" t="str">
        <f t="shared" si="8"/>
        <v>Sr</v>
      </c>
      <c r="AI530" t="s">
        <v>34</v>
      </c>
      <c r="AJ530" s="4">
        <v>254</v>
      </c>
      <c r="AK530" s="1">
        <f>Table1[[#This Row],[avg_salary]]*1000</f>
        <v>254000</v>
      </c>
    </row>
    <row r="531" spans="1:37" x14ac:dyDescent="0.3">
      <c r="A531" s="1">
        <v>676</v>
      </c>
      <c r="B531" s="1" t="s">
        <v>304</v>
      </c>
      <c r="C531" s="1" t="s">
        <v>1120</v>
      </c>
      <c r="D531" s="4">
        <v>91000</v>
      </c>
      <c r="E531" s="4">
        <v>159000</v>
      </c>
      <c r="F531" s="4">
        <v>125000</v>
      </c>
      <c r="G531" s="1" t="s">
        <v>1183</v>
      </c>
      <c r="H531" t="s">
        <v>1183</v>
      </c>
      <c r="I531" s="1" t="s">
        <v>1184</v>
      </c>
      <c r="J531" s="1" t="s">
        <v>780</v>
      </c>
      <c r="K531" s="1" t="s">
        <v>145</v>
      </c>
      <c r="L531" s="1" t="s">
        <v>74</v>
      </c>
      <c r="M531" s="1" t="s">
        <v>54</v>
      </c>
      <c r="N531" s="1" t="s">
        <v>698</v>
      </c>
      <c r="O531" s="1" t="s">
        <v>56</v>
      </c>
      <c r="P531">
        <v>39</v>
      </c>
      <c r="Q531" s="1">
        <v>1</v>
      </c>
      <c r="R531" s="1">
        <v>0</v>
      </c>
      <c r="S531" s="1">
        <v>1</v>
      </c>
      <c r="T531" s="1">
        <v>1</v>
      </c>
      <c r="U531" s="1">
        <v>1</v>
      </c>
      <c r="V531" s="1">
        <v>0</v>
      </c>
      <c r="W531" s="1">
        <v>0</v>
      </c>
      <c r="X531" s="1">
        <v>1</v>
      </c>
      <c r="Y531" s="1">
        <v>0</v>
      </c>
      <c r="Z531" s="1">
        <v>1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 t="s">
        <v>306</v>
      </c>
      <c r="AH531" s="1" t="str">
        <f t="shared" si="8"/>
        <v>Sr</v>
      </c>
      <c r="AI531" t="s">
        <v>34</v>
      </c>
      <c r="AJ531" s="4">
        <v>125</v>
      </c>
      <c r="AK531" s="1">
        <f>Table1[[#This Row],[avg_salary]]*1000</f>
        <v>125000</v>
      </c>
    </row>
    <row r="532" spans="1:37" x14ac:dyDescent="0.3">
      <c r="A532" s="1">
        <v>678</v>
      </c>
      <c r="B532" s="1" t="s">
        <v>699</v>
      </c>
      <c r="C532" s="1" t="s">
        <v>1121</v>
      </c>
      <c r="D532" s="4">
        <v>80000</v>
      </c>
      <c r="E532" s="4">
        <v>133000</v>
      </c>
      <c r="F532" s="4">
        <v>106500</v>
      </c>
      <c r="G532" s="1" t="s">
        <v>1195</v>
      </c>
      <c r="H532" t="s">
        <v>1441</v>
      </c>
      <c r="I532" s="1" t="s">
        <v>1196</v>
      </c>
      <c r="J532" s="1" t="s">
        <v>781</v>
      </c>
      <c r="K532" s="1" t="s">
        <v>89</v>
      </c>
      <c r="L532" s="1" t="s">
        <v>89</v>
      </c>
      <c r="M532" s="1" t="s">
        <v>84</v>
      </c>
      <c r="N532" s="1" t="s">
        <v>137</v>
      </c>
      <c r="O532" s="1" t="s">
        <v>91</v>
      </c>
      <c r="P532">
        <v>54</v>
      </c>
      <c r="Q532" s="1">
        <v>1</v>
      </c>
      <c r="R532" s="1">
        <v>0</v>
      </c>
      <c r="S532" s="1">
        <v>0</v>
      </c>
      <c r="T532" s="1">
        <v>0</v>
      </c>
      <c r="U532" s="1">
        <v>1</v>
      </c>
      <c r="V532" s="1">
        <v>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1</v>
      </c>
      <c r="AC532" s="1">
        <v>1</v>
      </c>
      <c r="AD532" s="1">
        <v>0</v>
      </c>
      <c r="AE532" s="1">
        <v>0</v>
      </c>
      <c r="AF532" s="1">
        <v>0</v>
      </c>
      <c r="AG532" s="1" t="s">
        <v>33</v>
      </c>
      <c r="AH532" s="1" t="str">
        <f t="shared" si="8"/>
        <v>Jr</v>
      </c>
      <c r="AI532" t="s">
        <v>34</v>
      </c>
      <c r="AJ532" s="4">
        <v>106.5</v>
      </c>
      <c r="AK532" s="1">
        <f>Table1[[#This Row],[avg_salary]]*1000</f>
        <v>106500</v>
      </c>
    </row>
    <row r="533" spans="1:37" x14ac:dyDescent="0.3">
      <c r="A533" s="1">
        <v>679</v>
      </c>
      <c r="B533" s="1" t="s">
        <v>540</v>
      </c>
      <c r="C533" s="1" t="s">
        <v>1027</v>
      </c>
      <c r="D533" s="4">
        <v>49000</v>
      </c>
      <c r="E533" s="4">
        <v>97000</v>
      </c>
      <c r="F533" s="4">
        <v>73000</v>
      </c>
      <c r="G533" s="1" t="s">
        <v>1297</v>
      </c>
      <c r="H533" t="s">
        <v>1439</v>
      </c>
      <c r="I533" s="1" t="s">
        <v>1189</v>
      </c>
      <c r="J533" s="1" t="s">
        <v>93</v>
      </c>
      <c r="K533" s="1" t="s">
        <v>89</v>
      </c>
      <c r="L533" s="1" t="s">
        <v>89</v>
      </c>
      <c r="M533" s="1" t="s">
        <v>54</v>
      </c>
      <c r="N533" s="1" t="s">
        <v>541</v>
      </c>
      <c r="O533" s="1" t="s">
        <v>67</v>
      </c>
      <c r="P533">
        <v>35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 t="s">
        <v>71</v>
      </c>
      <c r="AH533" s="1" t="str">
        <f t="shared" si="8"/>
        <v>Jr</v>
      </c>
      <c r="AI533" t="s">
        <v>72</v>
      </c>
      <c r="AJ533" s="4">
        <v>73</v>
      </c>
      <c r="AK533" s="1">
        <f>Table1[[#This Row],[avg_salary]]*1000</f>
        <v>73000</v>
      </c>
    </row>
    <row r="534" spans="1:37" x14ac:dyDescent="0.3">
      <c r="A534" s="1">
        <v>681</v>
      </c>
      <c r="B534" s="1" t="s">
        <v>418</v>
      </c>
      <c r="C534" s="1" t="s">
        <v>947</v>
      </c>
      <c r="D534" s="4">
        <v>49000</v>
      </c>
      <c r="E534" s="4">
        <v>113000</v>
      </c>
      <c r="F534" s="4">
        <v>81000</v>
      </c>
      <c r="G534" s="1" t="s">
        <v>1279</v>
      </c>
      <c r="H534" t="s">
        <v>1436</v>
      </c>
      <c r="I534" s="1" t="s">
        <v>1178</v>
      </c>
      <c r="J534" s="1" t="s">
        <v>780</v>
      </c>
      <c r="K534" s="1" t="s">
        <v>89</v>
      </c>
      <c r="L534" s="1" t="s">
        <v>89</v>
      </c>
      <c r="M534" s="1" t="s">
        <v>65</v>
      </c>
      <c r="N534" s="1" t="s">
        <v>419</v>
      </c>
      <c r="O534" s="1" t="s">
        <v>41</v>
      </c>
      <c r="P534">
        <v>33</v>
      </c>
      <c r="Q534" s="1">
        <v>0</v>
      </c>
      <c r="R534" s="1">
        <v>0</v>
      </c>
      <c r="S534" s="1">
        <v>0</v>
      </c>
      <c r="T534" s="1">
        <v>1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 t="s">
        <v>71</v>
      </c>
      <c r="AH534" s="1" t="str">
        <f t="shared" si="8"/>
        <v>Jr</v>
      </c>
      <c r="AI534" t="s">
        <v>72</v>
      </c>
      <c r="AJ534" s="4">
        <v>81</v>
      </c>
      <c r="AK534" s="1">
        <f>Table1[[#This Row],[avg_salary]]*1000</f>
        <v>81000</v>
      </c>
    </row>
    <row r="535" spans="1:37" x14ac:dyDescent="0.3">
      <c r="A535" s="1">
        <v>682</v>
      </c>
      <c r="B535" s="1" t="s">
        <v>415</v>
      </c>
      <c r="C535" s="1" t="s">
        <v>1425</v>
      </c>
      <c r="D535" s="4">
        <v>43000</v>
      </c>
      <c r="E535" s="4">
        <v>70000</v>
      </c>
      <c r="F535" s="4">
        <v>56500</v>
      </c>
      <c r="G535" s="1" t="s">
        <v>1320</v>
      </c>
      <c r="H535" t="s">
        <v>1464</v>
      </c>
      <c r="I535" s="1" t="s">
        <v>1308</v>
      </c>
      <c r="J535" s="1" t="s">
        <v>107</v>
      </c>
      <c r="K535" s="1" t="s">
        <v>37</v>
      </c>
      <c r="L535" s="1" t="s">
        <v>38</v>
      </c>
      <c r="M535" s="1" t="s">
        <v>44</v>
      </c>
      <c r="N535" s="1" t="s">
        <v>369</v>
      </c>
      <c r="O535" s="1" t="s">
        <v>370</v>
      </c>
      <c r="P535">
        <v>34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 t="s">
        <v>71</v>
      </c>
      <c r="AH535" s="1" t="str">
        <f t="shared" si="8"/>
        <v>Jr</v>
      </c>
      <c r="AI535" t="s">
        <v>34</v>
      </c>
      <c r="AJ535" s="4">
        <v>56.5</v>
      </c>
      <c r="AK535" s="1">
        <f>Table1[[#This Row],[avg_salary]]*1000</f>
        <v>56500</v>
      </c>
    </row>
    <row r="536" spans="1:37" x14ac:dyDescent="0.3">
      <c r="A536" s="1">
        <v>683</v>
      </c>
      <c r="B536" s="1" t="s">
        <v>542</v>
      </c>
      <c r="C536" s="1" t="s">
        <v>1028</v>
      </c>
      <c r="D536" s="4">
        <v>65000</v>
      </c>
      <c r="E536" s="4">
        <v>134000</v>
      </c>
      <c r="F536" s="4">
        <v>99500</v>
      </c>
      <c r="G536" s="1" t="s">
        <v>1359</v>
      </c>
      <c r="H536" t="s">
        <v>1458</v>
      </c>
      <c r="I536" s="1" t="s">
        <v>1271</v>
      </c>
      <c r="J536" s="1" t="s">
        <v>780</v>
      </c>
      <c r="K536" s="1" t="s">
        <v>157</v>
      </c>
      <c r="L536" s="1" t="s">
        <v>158</v>
      </c>
      <c r="M536" s="1" t="s">
        <v>84</v>
      </c>
      <c r="N536" s="1" t="s">
        <v>519</v>
      </c>
      <c r="O536" s="1" t="s">
        <v>259</v>
      </c>
      <c r="P536">
        <v>51</v>
      </c>
      <c r="Q536" s="1">
        <v>0</v>
      </c>
      <c r="R536" s="1">
        <v>0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 t="s">
        <v>71</v>
      </c>
      <c r="AH536" s="1" t="str">
        <f t="shared" si="8"/>
        <v>Jr</v>
      </c>
      <c r="AI536" t="s">
        <v>72</v>
      </c>
      <c r="AJ536" s="4">
        <v>99.5</v>
      </c>
      <c r="AK536" s="1">
        <f>Table1[[#This Row],[avg_salary]]*1000</f>
        <v>99500</v>
      </c>
    </row>
    <row r="537" spans="1:37" x14ac:dyDescent="0.3">
      <c r="A537" s="1">
        <v>685</v>
      </c>
      <c r="B537" s="1" t="s">
        <v>543</v>
      </c>
      <c r="C537" s="1" t="s">
        <v>1029</v>
      </c>
      <c r="D537" s="4">
        <v>32000</v>
      </c>
      <c r="E537" s="4">
        <v>59000</v>
      </c>
      <c r="F537" s="4">
        <v>45500</v>
      </c>
      <c r="G537" s="1" t="s">
        <v>1360</v>
      </c>
      <c r="H537" t="s">
        <v>1450</v>
      </c>
      <c r="I537" s="1" t="s">
        <v>1228</v>
      </c>
      <c r="J537" s="1" t="s">
        <v>780</v>
      </c>
      <c r="K537" s="1" t="s">
        <v>108</v>
      </c>
      <c r="L537" s="1" t="s">
        <v>109</v>
      </c>
      <c r="M537" s="1" t="s">
        <v>50</v>
      </c>
      <c r="N537" s="1" t="s">
        <v>544</v>
      </c>
      <c r="O537" s="1" t="s">
        <v>168</v>
      </c>
      <c r="P537">
        <v>44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 t="s">
        <v>88</v>
      </c>
      <c r="AH537" s="1" t="str">
        <f t="shared" si="8"/>
        <v>Jr</v>
      </c>
      <c r="AI537" t="s">
        <v>34</v>
      </c>
      <c r="AJ537" s="4">
        <v>45.5</v>
      </c>
      <c r="AK537" s="1">
        <f>Table1[[#This Row],[avg_salary]]*1000</f>
        <v>45500</v>
      </c>
    </row>
    <row r="538" spans="1:37" x14ac:dyDescent="0.3">
      <c r="A538" s="1">
        <v>687</v>
      </c>
      <c r="B538" s="1" t="s">
        <v>700</v>
      </c>
      <c r="C538" s="1" t="s">
        <v>1122</v>
      </c>
      <c r="D538" s="4">
        <v>39000</v>
      </c>
      <c r="E538" s="4">
        <v>69000</v>
      </c>
      <c r="F538" s="4">
        <v>54000</v>
      </c>
      <c r="G538" s="1" t="s">
        <v>1210</v>
      </c>
      <c r="H538" t="s">
        <v>1441</v>
      </c>
      <c r="I538" s="1" t="s">
        <v>1196</v>
      </c>
      <c r="J538" s="1" t="s">
        <v>781</v>
      </c>
      <c r="K538" s="1" t="s">
        <v>108</v>
      </c>
      <c r="L538" s="1" t="s">
        <v>109</v>
      </c>
      <c r="M538" s="1" t="s">
        <v>130</v>
      </c>
      <c r="N538" s="1" t="s">
        <v>131</v>
      </c>
      <c r="O538" s="1" t="s">
        <v>91</v>
      </c>
      <c r="P538">
        <v>46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 t="s">
        <v>88</v>
      </c>
      <c r="AH538" s="1" t="str">
        <f t="shared" si="8"/>
        <v>Jr</v>
      </c>
      <c r="AI538" t="s">
        <v>34</v>
      </c>
      <c r="AJ538" s="4">
        <v>54</v>
      </c>
      <c r="AK538" s="1">
        <f>Table1[[#This Row],[avg_salary]]*1000</f>
        <v>54000</v>
      </c>
    </row>
    <row r="539" spans="1:37" x14ac:dyDescent="0.3">
      <c r="A539" s="1">
        <v>688</v>
      </c>
      <c r="B539" s="1" t="s">
        <v>420</v>
      </c>
      <c r="C539" s="1" t="s">
        <v>1030</v>
      </c>
      <c r="D539" s="4">
        <v>87000</v>
      </c>
      <c r="E539" s="4">
        <v>158000</v>
      </c>
      <c r="F539" s="4">
        <v>122500</v>
      </c>
      <c r="G539" s="1" t="s">
        <v>1247</v>
      </c>
      <c r="H539" t="s">
        <v>1455</v>
      </c>
      <c r="I539" s="1" t="s">
        <v>1248</v>
      </c>
      <c r="J539" s="1" t="s">
        <v>780</v>
      </c>
      <c r="K539" s="1" t="s">
        <v>64</v>
      </c>
      <c r="L539" s="1" t="s">
        <v>43</v>
      </c>
      <c r="M539" s="1" t="s">
        <v>65</v>
      </c>
      <c r="N539" s="1" t="s">
        <v>545</v>
      </c>
      <c r="O539" s="1" t="s">
        <v>207</v>
      </c>
      <c r="P539">
        <v>33</v>
      </c>
      <c r="Q539" s="1">
        <v>1</v>
      </c>
      <c r="R539" s="1">
        <v>1</v>
      </c>
      <c r="S539" s="1">
        <v>1</v>
      </c>
      <c r="T539" s="1">
        <v>0</v>
      </c>
      <c r="U539" s="1">
        <v>1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1</v>
      </c>
      <c r="AB539" s="1">
        <v>0</v>
      </c>
      <c r="AC539" s="1">
        <v>0</v>
      </c>
      <c r="AD539" s="1">
        <v>0</v>
      </c>
      <c r="AE539" s="1">
        <v>1</v>
      </c>
      <c r="AF539" s="1">
        <v>0</v>
      </c>
      <c r="AG539" s="1" t="s">
        <v>98</v>
      </c>
      <c r="AH539" s="1" t="str">
        <f t="shared" si="8"/>
        <v>Sr</v>
      </c>
      <c r="AI539" t="s">
        <v>34</v>
      </c>
      <c r="AJ539" s="4">
        <v>122.5</v>
      </c>
      <c r="AK539" s="1">
        <f>Table1[[#This Row],[avg_salary]]*1000</f>
        <v>122500</v>
      </c>
    </row>
    <row r="540" spans="1:37" x14ac:dyDescent="0.3">
      <c r="A540" s="1">
        <v>689</v>
      </c>
      <c r="B540" s="1" t="s">
        <v>500</v>
      </c>
      <c r="C540" s="1" t="s">
        <v>1123</v>
      </c>
      <c r="D540" s="4">
        <v>27000</v>
      </c>
      <c r="E540" s="4">
        <v>48000</v>
      </c>
      <c r="F540" s="4">
        <v>37500</v>
      </c>
      <c r="G540" s="1" t="s">
        <v>1291</v>
      </c>
      <c r="H540" t="s">
        <v>1437</v>
      </c>
      <c r="I540" s="1" t="s">
        <v>1180</v>
      </c>
      <c r="J540" s="1" t="s">
        <v>93</v>
      </c>
      <c r="K540" s="1" t="s">
        <v>103</v>
      </c>
      <c r="L540" s="1" t="s">
        <v>74</v>
      </c>
      <c r="M540" s="1" t="s">
        <v>44</v>
      </c>
      <c r="N540" s="1" t="s">
        <v>701</v>
      </c>
      <c r="O540" s="1" t="s">
        <v>46</v>
      </c>
      <c r="P540">
        <v>18</v>
      </c>
      <c r="Q540" s="1">
        <v>0</v>
      </c>
      <c r="R540" s="1">
        <v>0</v>
      </c>
      <c r="S540" s="1">
        <v>0</v>
      </c>
      <c r="T540" s="1">
        <v>1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 t="s">
        <v>88</v>
      </c>
      <c r="AH540" s="1" t="str">
        <f t="shared" si="8"/>
        <v>Jr</v>
      </c>
      <c r="AI540" t="s">
        <v>34</v>
      </c>
      <c r="AJ540" s="4">
        <v>37.5</v>
      </c>
      <c r="AK540" s="1">
        <f>Table1[[#This Row],[avg_salary]]*1000</f>
        <v>37500</v>
      </c>
    </row>
    <row r="541" spans="1:37" x14ac:dyDescent="0.3">
      <c r="A541" s="1">
        <v>690</v>
      </c>
      <c r="B541" s="1" t="s">
        <v>702</v>
      </c>
      <c r="C541" s="1" t="s">
        <v>1124</v>
      </c>
      <c r="D541" s="4">
        <v>36000</v>
      </c>
      <c r="E541" s="4">
        <v>71000</v>
      </c>
      <c r="F541" s="4">
        <v>53500</v>
      </c>
      <c r="G541" s="1" t="s">
        <v>1183</v>
      </c>
      <c r="H541" t="s">
        <v>1183</v>
      </c>
      <c r="I541" s="1" t="s">
        <v>1184</v>
      </c>
      <c r="J541" s="1" t="s">
        <v>780</v>
      </c>
      <c r="K541" s="1" t="s">
        <v>311</v>
      </c>
      <c r="L541" s="1" t="s">
        <v>312</v>
      </c>
      <c r="M541" s="1" t="s">
        <v>39</v>
      </c>
      <c r="N541" s="1" t="s">
        <v>427</v>
      </c>
      <c r="O541" s="1" t="s">
        <v>56</v>
      </c>
      <c r="P541">
        <v>23</v>
      </c>
      <c r="Q541" s="1">
        <v>1</v>
      </c>
      <c r="R541" s="1">
        <v>0</v>
      </c>
      <c r="S541" s="1">
        <v>0</v>
      </c>
      <c r="T541" s="1">
        <v>1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1</v>
      </c>
      <c r="AG541" s="1" t="s">
        <v>88</v>
      </c>
      <c r="AH541" s="1" t="str">
        <f t="shared" si="8"/>
        <v>Jr</v>
      </c>
      <c r="AI541" t="s">
        <v>34</v>
      </c>
      <c r="AJ541" s="4">
        <v>53.5</v>
      </c>
      <c r="AK541" s="1">
        <f>Table1[[#This Row],[avg_salary]]*1000</f>
        <v>53500</v>
      </c>
    </row>
    <row r="542" spans="1:37" x14ac:dyDescent="0.3">
      <c r="A542" s="1">
        <v>691</v>
      </c>
      <c r="B542" s="1" t="s">
        <v>546</v>
      </c>
      <c r="C542" s="1" t="s">
        <v>1031</v>
      </c>
      <c r="D542" s="4">
        <v>107000</v>
      </c>
      <c r="E542" s="4">
        <v>173000</v>
      </c>
      <c r="F542" s="4">
        <v>140000</v>
      </c>
      <c r="G542" s="1" t="s">
        <v>1203</v>
      </c>
      <c r="H542" t="s">
        <v>1444</v>
      </c>
      <c r="I542" s="1" t="s">
        <v>1204</v>
      </c>
      <c r="J542" s="1" t="s">
        <v>781</v>
      </c>
      <c r="K542" s="1" t="s">
        <v>238</v>
      </c>
      <c r="L542" s="1" t="s">
        <v>62</v>
      </c>
      <c r="M542" s="1" t="s">
        <v>58</v>
      </c>
      <c r="N542" s="1" t="s">
        <v>239</v>
      </c>
      <c r="O542" s="1" t="s">
        <v>120</v>
      </c>
      <c r="P542">
        <v>33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 t="s">
        <v>33</v>
      </c>
      <c r="AH542" s="1" t="str">
        <f t="shared" si="8"/>
        <v>Sr</v>
      </c>
      <c r="AI542" t="s">
        <v>34</v>
      </c>
      <c r="AJ542" s="4">
        <v>140</v>
      </c>
      <c r="AK542" s="1">
        <f>Table1[[#This Row],[avg_salary]]*1000</f>
        <v>140000</v>
      </c>
    </row>
    <row r="543" spans="1:37" x14ac:dyDescent="0.3">
      <c r="A543" s="1">
        <v>692</v>
      </c>
      <c r="B543" s="1" t="s">
        <v>547</v>
      </c>
      <c r="C543" s="1" t="s">
        <v>1032</v>
      </c>
      <c r="D543" s="4">
        <v>56000</v>
      </c>
      <c r="E543" s="4">
        <v>99000</v>
      </c>
      <c r="F543" s="4">
        <v>77500</v>
      </c>
      <c r="G543" s="1" t="s">
        <v>1361</v>
      </c>
      <c r="H543" t="s">
        <v>1440</v>
      </c>
      <c r="I543" s="1" t="s">
        <v>1192</v>
      </c>
      <c r="J543" s="1" t="s">
        <v>107</v>
      </c>
      <c r="K543" s="1" t="s">
        <v>246</v>
      </c>
      <c r="L543" s="1" t="s">
        <v>47</v>
      </c>
      <c r="M543" s="1" t="s">
        <v>58</v>
      </c>
      <c r="N543" s="1" t="s">
        <v>247</v>
      </c>
      <c r="O543" s="1" t="s">
        <v>81</v>
      </c>
      <c r="P543">
        <v>49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 t="s">
        <v>33</v>
      </c>
      <c r="AH543" s="1" t="str">
        <f t="shared" si="8"/>
        <v>Jr</v>
      </c>
      <c r="AI543" t="s">
        <v>72</v>
      </c>
      <c r="AJ543" s="4">
        <v>77.5</v>
      </c>
      <c r="AK543" s="1">
        <f>Table1[[#This Row],[avg_salary]]*1000</f>
        <v>77500</v>
      </c>
    </row>
    <row r="544" spans="1:37" x14ac:dyDescent="0.3">
      <c r="A544" s="1">
        <v>694</v>
      </c>
      <c r="B544" s="1" t="s">
        <v>548</v>
      </c>
      <c r="C544" s="1" t="s">
        <v>1428</v>
      </c>
      <c r="D544" s="4">
        <v>52000</v>
      </c>
      <c r="E544" s="4">
        <v>58000</v>
      </c>
      <c r="F544" s="4">
        <v>55000</v>
      </c>
      <c r="G544" s="1" t="s">
        <v>1195</v>
      </c>
      <c r="H544" t="s">
        <v>1441</v>
      </c>
      <c r="I544" s="1" t="s">
        <v>1196</v>
      </c>
      <c r="J544" s="1" t="s">
        <v>780</v>
      </c>
      <c r="K544" s="1" t="s">
        <v>549</v>
      </c>
      <c r="L544" s="1" t="s">
        <v>550</v>
      </c>
      <c r="M544" s="1" t="s">
        <v>54</v>
      </c>
      <c r="N544" s="1" t="s">
        <v>551</v>
      </c>
      <c r="O544" s="1" t="s">
        <v>91</v>
      </c>
      <c r="P544">
        <v>55</v>
      </c>
      <c r="Q544" s="1">
        <v>0</v>
      </c>
      <c r="R544" s="1">
        <v>0</v>
      </c>
      <c r="S544" s="1">
        <v>0</v>
      </c>
      <c r="T544" s="1">
        <v>1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 t="s">
        <v>71</v>
      </c>
      <c r="AH544" s="1" t="str">
        <f t="shared" si="8"/>
        <v>Jr</v>
      </c>
      <c r="AI544" t="s">
        <v>34</v>
      </c>
      <c r="AJ544" s="4">
        <v>55</v>
      </c>
      <c r="AK544" s="1">
        <f>Table1[[#This Row],[avg_salary]]*1000</f>
        <v>55000</v>
      </c>
    </row>
    <row r="545" spans="1:37" x14ac:dyDescent="0.3">
      <c r="A545" s="1">
        <v>695</v>
      </c>
      <c r="B545" s="1" t="s">
        <v>552</v>
      </c>
      <c r="C545" s="1" t="s">
        <v>1033</v>
      </c>
      <c r="D545" s="4">
        <v>80000</v>
      </c>
      <c r="E545" s="4">
        <v>155000</v>
      </c>
      <c r="F545" s="4">
        <v>117500</v>
      </c>
      <c r="G545" s="1" t="s">
        <v>1359</v>
      </c>
      <c r="H545" t="s">
        <v>1458</v>
      </c>
      <c r="I545" s="1" t="s">
        <v>1271</v>
      </c>
      <c r="J545" s="1" t="s">
        <v>780</v>
      </c>
      <c r="K545" s="1" t="s">
        <v>157</v>
      </c>
      <c r="L545" s="1" t="s">
        <v>158</v>
      </c>
      <c r="M545" s="1" t="s">
        <v>84</v>
      </c>
      <c r="N545" s="1" t="s">
        <v>519</v>
      </c>
      <c r="O545" s="1" t="s">
        <v>259</v>
      </c>
      <c r="P545">
        <v>57</v>
      </c>
      <c r="Q545" s="1">
        <v>0</v>
      </c>
      <c r="R545" s="1">
        <v>0</v>
      </c>
      <c r="S545" s="1">
        <v>0</v>
      </c>
      <c r="T545" s="1">
        <v>1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 t="s">
        <v>71</v>
      </c>
      <c r="AH545" s="1" t="str">
        <f t="shared" si="8"/>
        <v>Sr</v>
      </c>
      <c r="AI545" t="s">
        <v>34</v>
      </c>
      <c r="AJ545" s="4">
        <v>117.5</v>
      </c>
      <c r="AK545" s="1">
        <f>Table1[[#This Row],[avg_salary]]*1000</f>
        <v>117500</v>
      </c>
    </row>
    <row r="546" spans="1:37" x14ac:dyDescent="0.3">
      <c r="A546" s="1">
        <v>696</v>
      </c>
      <c r="B546" s="1" t="s">
        <v>553</v>
      </c>
      <c r="C546" s="1" t="s">
        <v>1034</v>
      </c>
      <c r="D546" s="4">
        <v>43000</v>
      </c>
      <c r="E546" s="4">
        <v>98000</v>
      </c>
      <c r="F546" s="4">
        <v>70500</v>
      </c>
      <c r="G546" s="1" t="s">
        <v>1235</v>
      </c>
      <c r="H546" t="s">
        <v>1439</v>
      </c>
      <c r="I546" s="1" t="s">
        <v>1189</v>
      </c>
      <c r="J546" s="1" t="s">
        <v>780</v>
      </c>
      <c r="K546" s="1" t="s">
        <v>89</v>
      </c>
      <c r="L546" s="1" t="s">
        <v>89</v>
      </c>
      <c r="M546" s="1" t="s">
        <v>30</v>
      </c>
      <c r="N546" s="1" t="s">
        <v>554</v>
      </c>
      <c r="O546" s="1" t="s">
        <v>67</v>
      </c>
      <c r="P546">
        <v>28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 t="s">
        <v>71</v>
      </c>
      <c r="AH546" s="1" t="str">
        <f t="shared" si="8"/>
        <v>Jr</v>
      </c>
      <c r="AI546" t="s">
        <v>34</v>
      </c>
      <c r="AJ546" s="4">
        <v>70.5</v>
      </c>
      <c r="AK546" s="1">
        <f>Table1[[#This Row],[avg_salary]]*1000</f>
        <v>70500</v>
      </c>
    </row>
    <row r="547" spans="1:37" x14ac:dyDescent="0.3">
      <c r="A547" s="1">
        <v>697</v>
      </c>
      <c r="B547" s="1" t="s">
        <v>557</v>
      </c>
      <c r="C547" s="1" t="s">
        <v>1036</v>
      </c>
      <c r="D547" s="4">
        <v>44000</v>
      </c>
      <c r="E547" s="4">
        <v>96000</v>
      </c>
      <c r="F547" s="4">
        <v>70000</v>
      </c>
      <c r="G547" s="1" t="s">
        <v>1362</v>
      </c>
      <c r="H547" t="s">
        <v>1183</v>
      </c>
      <c r="I547" s="1" t="s">
        <v>1184</v>
      </c>
      <c r="J547" s="1" t="s">
        <v>780</v>
      </c>
      <c r="K547" s="1" t="s">
        <v>89</v>
      </c>
      <c r="L547" s="1" t="s">
        <v>89</v>
      </c>
      <c r="M547" s="1" t="s">
        <v>54</v>
      </c>
      <c r="N547" s="1" t="s">
        <v>558</v>
      </c>
      <c r="O547" s="1" t="s">
        <v>56</v>
      </c>
      <c r="P547">
        <v>46</v>
      </c>
      <c r="Q547" s="1">
        <v>0</v>
      </c>
      <c r="R547" s="1">
        <v>0</v>
      </c>
      <c r="S547" s="1">
        <v>0</v>
      </c>
      <c r="T547" s="1">
        <v>1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 t="s">
        <v>71</v>
      </c>
      <c r="AH547" s="1" t="str">
        <f t="shared" si="8"/>
        <v>Jr</v>
      </c>
      <c r="AI547" t="s">
        <v>34</v>
      </c>
      <c r="AJ547" s="4">
        <v>70</v>
      </c>
      <c r="AK547" s="1">
        <f>Table1[[#This Row],[avg_salary]]*1000</f>
        <v>70000</v>
      </c>
    </row>
    <row r="548" spans="1:37" x14ac:dyDescent="0.3">
      <c r="A548" s="1">
        <v>698</v>
      </c>
      <c r="B548" s="1" t="s">
        <v>555</v>
      </c>
      <c r="C548" s="1" t="s">
        <v>1035</v>
      </c>
      <c r="D548" s="4">
        <v>45000</v>
      </c>
      <c r="E548" s="4">
        <v>78000</v>
      </c>
      <c r="F548" s="4">
        <v>61500</v>
      </c>
      <c r="G548" s="1" t="s">
        <v>1200</v>
      </c>
      <c r="H548" t="s">
        <v>1439</v>
      </c>
      <c r="I548" s="1" t="s">
        <v>1189</v>
      </c>
      <c r="J548" s="1" t="s">
        <v>780</v>
      </c>
      <c r="K548" s="1" t="s">
        <v>145</v>
      </c>
      <c r="L548" s="1" t="s">
        <v>74</v>
      </c>
      <c r="M548" s="1" t="s">
        <v>65</v>
      </c>
      <c r="N548" s="1" t="s">
        <v>556</v>
      </c>
      <c r="O548" s="1" t="s">
        <v>67</v>
      </c>
      <c r="P548">
        <v>48</v>
      </c>
      <c r="Q548" s="1">
        <v>0</v>
      </c>
      <c r="R548" s="1">
        <v>0</v>
      </c>
      <c r="S548" s="1">
        <v>0</v>
      </c>
      <c r="T548" s="1">
        <v>1</v>
      </c>
      <c r="U548" s="1">
        <v>1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1</v>
      </c>
      <c r="AC548" s="1">
        <v>0</v>
      </c>
      <c r="AD548" s="1">
        <v>0</v>
      </c>
      <c r="AE548" s="1">
        <v>0</v>
      </c>
      <c r="AF548" s="1">
        <v>0</v>
      </c>
      <c r="AG548" s="1" t="s">
        <v>295</v>
      </c>
      <c r="AH548" s="1" t="str">
        <f t="shared" si="8"/>
        <v>Jr</v>
      </c>
      <c r="AI548" t="s">
        <v>34</v>
      </c>
      <c r="AJ548" s="4">
        <v>61.5</v>
      </c>
      <c r="AK548" s="1">
        <f>Table1[[#This Row],[avg_salary]]*1000</f>
        <v>61500</v>
      </c>
    </row>
    <row r="549" spans="1:37" x14ac:dyDescent="0.3">
      <c r="A549" s="1">
        <v>699</v>
      </c>
      <c r="B549" s="1" t="s">
        <v>559</v>
      </c>
      <c r="C549" s="1" t="s">
        <v>1037</v>
      </c>
      <c r="D549" s="4">
        <v>50000</v>
      </c>
      <c r="E549" s="4">
        <v>110000</v>
      </c>
      <c r="F549" s="4">
        <v>80000</v>
      </c>
      <c r="G549" s="1" t="s">
        <v>1363</v>
      </c>
      <c r="H549" t="s">
        <v>1454</v>
      </c>
      <c r="I549" s="1" t="s">
        <v>1244</v>
      </c>
      <c r="J549" s="1" t="s">
        <v>780</v>
      </c>
      <c r="K549" s="1" t="s">
        <v>89</v>
      </c>
      <c r="L549" s="1" t="s">
        <v>89</v>
      </c>
      <c r="M549" s="1" t="s">
        <v>54</v>
      </c>
      <c r="N549" s="1" t="s">
        <v>558</v>
      </c>
      <c r="O549" s="1" t="s">
        <v>197</v>
      </c>
      <c r="P549">
        <v>50</v>
      </c>
      <c r="Q549" s="1">
        <v>0</v>
      </c>
      <c r="R549" s="1">
        <v>0</v>
      </c>
      <c r="S549" s="1">
        <v>0</v>
      </c>
      <c r="T549" s="1">
        <v>1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 t="s">
        <v>71</v>
      </c>
      <c r="AH549" s="1" t="str">
        <f t="shared" si="8"/>
        <v>Jr</v>
      </c>
      <c r="AI549" t="s">
        <v>34</v>
      </c>
      <c r="AJ549" s="4">
        <v>80</v>
      </c>
      <c r="AK549" s="1">
        <f>Table1[[#This Row],[avg_salary]]*1000</f>
        <v>80000</v>
      </c>
    </row>
    <row r="550" spans="1:37" x14ac:dyDescent="0.3">
      <c r="A550" s="1">
        <v>700</v>
      </c>
      <c r="B550" s="1" t="s">
        <v>28</v>
      </c>
      <c r="C550" s="1" t="s">
        <v>837</v>
      </c>
      <c r="D550" s="4">
        <v>60000</v>
      </c>
      <c r="E550" s="4">
        <v>99000</v>
      </c>
      <c r="F550" s="4">
        <v>79500</v>
      </c>
      <c r="G550" s="1" t="s">
        <v>1243</v>
      </c>
      <c r="H550" t="s">
        <v>1454</v>
      </c>
      <c r="I550" s="1" t="s">
        <v>1244</v>
      </c>
      <c r="J550" s="1" t="s">
        <v>780</v>
      </c>
      <c r="K550" s="1" t="s">
        <v>145</v>
      </c>
      <c r="L550" s="1" t="s">
        <v>74</v>
      </c>
      <c r="M550" s="1" t="s">
        <v>65</v>
      </c>
      <c r="N550" s="1" t="s">
        <v>196</v>
      </c>
      <c r="O550" s="1" t="s">
        <v>197</v>
      </c>
      <c r="P550">
        <v>34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  <c r="W550" s="1">
        <v>1</v>
      </c>
      <c r="X550" s="1">
        <v>1</v>
      </c>
      <c r="Y550" s="1">
        <v>1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 t="s">
        <v>33</v>
      </c>
      <c r="AH550" s="1" t="str">
        <f t="shared" si="8"/>
        <v>Jr</v>
      </c>
      <c r="AI550" t="s">
        <v>34</v>
      </c>
      <c r="AJ550" s="4">
        <v>79.5</v>
      </c>
      <c r="AK550" s="1">
        <f>Table1[[#This Row],[avg_salary]]*1000</f>
        <v>79500</v>
      </c>
    </row>
    <row r="551" spans="1:37" x14ac:dyDescent="0.3">
      <c r="A551" s="1">
        <v>701</v>
      </c>
      <c r="B551" s="1" t="s">
        <v>703</v>
      </c>
      <c r="C551" s="1" t="s">
        <v>1125</v>
      </c>
      <c r="D551" s="4">
        <v>130000</v>
      </c>
      <c r="E551" s="4">
        <v>206000</v>
      </c>
      <c r="F551" s="4">
        <v>168000</v>
      </c>
      <c r="G551" s="1" t="s">
        <v>1199</v>
      </c>
      <c r="H551" t="s">
        <v>1439</v>
      </c>
      <c r="I551" s="1" t="s">
        <v>1189</v>
      </c>
      <c r="J551" s="1" t="s">
        <v>780</v>
      </c>
      <c r="K551" s="1" t="s">
        <v>145</v>
      </c>
      <c r="L551" s="1" t="s">
        <v>74</v>
      </c>
      <c r="M551" s="1" t="s">
        <v>44</v>
      </c>
      <c r="N551" s="1" t="s">
        <v>704</v>
      </c>
      <c r="O551" s="1" t="s">
        <v>67</v>
      </c>
      <c r="P551">
        <v>41</v>
      </c>
      <c r="Q551" s="1">
        <v>1</v>
      </c>
      <c r="R551" s="1">
        <v>0</v>
      </c>
      <c r="S551" s="1">
        <v>0</v>
      </c>
      <c r="T551" s="1">
        <v>1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0</v>
      </c>
      <c r="AG551" s="1" t="s">
        <v>33</v>
      </c>
      <c r="AH551" s="1" t="str">
        <f t="shared" si="8"/>
        <v>Sr</v>
      </c>
      <c r="AI551" t="s">
        <v>34</v>
      </c>
      <c r="AJ551" s="4">
        <v>168</v>
      </c>
      <c r="AK551" s="1">
        <f>Table1[[#This Row],[avg_salary]]*1000</f>
        <v>168000</v>
      </c>
    </row>
    <row r="552" spans="1:37" x14ac:dyDescent="0.3">
      <c r="A552" s="1">
        <v>702</v>
      </c>
      <c r="B552" s="1" t="s">
        <v>560</v>
      </c>
      <c r="C552" s="1" t="s">
        <v>1038</v>
      </c>
      <c r="D552" s="4">
        <v>61000</v>
      </c>
      <c r="E552" s="4">
        <v>119000</v>
      </c>
      <c r="F552" s="4">
        <v>90000</v>
      </c>
      <c r="G552" s="1" t="s">
        <v>1364</v>
      </c>
      <c r="H552" t="s">
        <v>1441</v>
      </c>
      <c r="I552" s="1" t="s">
        <v>1196</v>
      </c>
      <c r="J552" s="1" t="s">
        <v>780</v>
      </c>
      <c r="K552" s="1" t="s">
        <v>108</v>
      </c>
      <c r="L552" s="1" t="s">
        <v>109</v>
      </c>
      <c r="M552" s="1" t="s">
        <v>44</v>
      </c>
      <c r="N552" s="1" t="s">
        <v>561</v>
      </c>
      <c r="O552" s="1" t="s">
        <v>91</v>
      </c>
      <c r="P552">
        <v>55</v>
      </c>
      <c r="Q552" s="1">
        <v>0</v>
      </c>
      <c r="R552" s="1">
        <v>1</v>
      </c>
      <c r="S552" s="1">
        <v>0</v>
      </c>
      <c r="T552" s="1">
        <v>1</v>
      </c>
      <c r="U552" s="1">
        <v>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1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 t="s">
        <v>98</v>
      </c>
      <c r="AH552" s="1" t="str">
        <f t="shared" si="8"/>
        <v>Jr</v>
      </c>
      <c r="AI552" t="s">
        <v>72</v>
      </c>
      <c r="AJ552" s="4">
        <v>90</v>
      </c>
      <c r="AK552" s="1">
        <f>Table1[[#This Row],[avg_salary]]*1000</f>
        <v>90000</v>
      </c>
    </row>
    <row r="553" spans="1:37" x14ac:dyDescent="0.3">
      <c r="A553" s="1">
        <v>703</v>
      </c>
      <c r="B553" s="1" t="s">
        <v>562</v>
      </c>
      <c r="C553" s="1" t="s">
        <v>1420</v>
      </c>
      <c r="D553" s="4">
        <v>100000</v>
      </c>
      <c r="E553" s="4">
        <v>140000</v>
      </c>
      <c r="F553" s="4">
        <v>120000</v>
      </c>
      <c r="G553" s="1" t="s">
        <v>1195</v>
      </c>
      <c r="H553" t="s">
        <v>1441</v>
      </c>
      <c r="I553" s="1" t="s">
        <v>1196</v>
      </c>
      <c r="J553" s="1" t="s">
        <v>780</v>
      </c>
      <c r="K553" s="1" t="s">
        <v>89</v>
      </c>
      <c r="L553" s="1" t="s">
        <v>74</v>
      </c>
      <c r="M553" s="1" t="s">
        <v>54</v>
      </c>
      <c r="N553" s="1" t="s">
        <v>563</v>
      </c>
      <c r="O553" s="1" t="s">
        <v>91</v>
      </c>
      <c r="P553">
        <v>59</v>
      </c>
      <c r="Q553" s="1">
        <v>0</v>
      </c>
      <c r="R553" s="1">
        <v>0</v>
      </c>
      <c r="S553" s="1">
        <v>0</v>
      </c>
      <c r="T553" s="1">
        <v>1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 t="s">
        <v>71</v>
      </c>
      <c r="AH553" s="1" t="str">
        <f t="shared" si="8"/>
        <v>Sr</v>
      </c>
      <c r="AI553" t="s">
        <v>72</v>
      </c>
      <c r="AJ553" s="4">
        <v>120</v>
      </c>
      <c r="AK553" s="1">
        <f>Table1[[#This Row],[avg_salary]]*1000</f>
        <v>120000</v>
      </c>
    </row>
    <row r="554" spans="1:37" x14ac:dyDescent="0.3">
      <c r="A554" s="1">
        <v>704</v>
      </c>
      <c r="B554" s="1" t="s">
        <v>264</v>
      </c>
      <c r="C554" s="1" t="s">
        <v>1126</v>
      </c>
      <c r="D554" s="4">
        <v>99000</v>
      </c>
      <c r="E554" s="4">
        <v>178000</v>
      </c>
      <c r="F554" s="4">
        <v>138500</v>
      </c>
      <c r="G554" s="1" t="s">
        <v>1200</v>
      </c>
      <c r="H554" t="s">
        <v>1439</v>
      </c>
      <c r="I554" s="1" t="s">
        <v>1189</v>
      </c>
      <c r="J554" s="1" t="s">
        <v>781</v>
      </c>
      <c r="K554" s="1" t="s">
        <v>145</v>
      </c>
      <c r="L554" s="1" t="s">
        <v>74</v>
      </c>
      <c r="M554" s="1" t="s">
        <v>54</v>
      </c>
      <c r="N554" s="1" t="s">
        <v>705</v>
      </c>
      <c r="O554" s="1" t="s">
        <v>67</v>
      </c>
      <c r="P554">
        <v>56</v>
      </c>
      <c r="Q554" s="1">
        <v>1</v>
      </c>
      <c r="R554" s="1">
        <v>0</v>
      </c>
      <c r="S554" s="1">
        <v>0</v>
      </c>
      <c r="T554" s="1">
        <v>0</v>
      </c>
      <c r="U554" s="1">
        <v>1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1">
        <v>0</v>
      </c>
      <c r="AE554" s="1">
        <v>0</v>
      </c>
      <c r="AF554" s="1">
        <v>0</v>
      </c>
      <c r="AG554" s="1" t="s">
        <v>88</v>
      </c>
      <c r="AH554" s="1" t="str">
        <f t="shared" si="8"/>
        <v>Sr</v>
      </c>
      <c r="AI554" t="s">
        <v>34</v>
      </c>
      <c r="AJ554" s="4">
        <v>138.5</v>
      </c>
      <c r="AK554" s="1">
        <f>Table1[[#This Row],[avg_salary]]*1000</f>
        <v>138500</v>
      </c>
    </row>
    <row r="555" spans="1:37" x14ac:dyDescent="0.3">
      <c r="A555" s="1">
        <v>705</v>
      </c>
      <c r="B555" s="1" t="s">
        <v>706</v>
      </c>
      <c r="C555" s="1" t="s">
        <v>1127</v>
      </c>
      <c r="D555" s="4">
        <v>86000</v>
      </c>
      <c r="E555" s="4">
        <v>137000</v>
      </c>
      <c r="F555" s="4">
        <v>111500</v>
      </c>
      <c r="G555" s="1" t="s">
        <v>1392</v>
      </c>
      <c r="H555" t="s">
        <v>1453</v>
      </c>
      <c r="I555" s="1" t="s">
        <v>1241</v>
      </c>
      <c r="J555" s="1" t="s">
        <v>781</v>
      </c>
      <c r="K555" s="1" t="s">
        <v>89</v>
      </c>
      <c r="L555" s="1" t="s">
        <v>89</v>
      </c>
      <c r="M555" s="1" t="s">
        <v>39</v>
      </c>
      <c r="N555" s="1" t="s">
        <v>707</v>
      </c>
      <c r="O555" s="1" t="s">
        <v>194</v>
      </c>
      <c r="P555">
        <v>25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 t="s">
        <v>33</v>
      </c>
      <c r="AH555" s="1" t="str">
        <f t="shared" si="8"/>
        <v>Jr</v>
      </c>
      <c r="AI555" t="s">
        <v>34</v>
      </c>
      <c r="AJ555" s="4">
        <v>111.5</v>
      </c>
      <c r="AK555" s="1">
        <f>Table1[[#This Row],[avg_salary]]*1000</f>
        <v>111500</v>
      </c>
    </row>
    <row r="556" spans="1:37" x14ac:dyDescent="0.3">
      <c r="A556" s="1">
        <v>706</v>
      </c>
      <c r="B556" s="1" t="s">
        <v>708</v>
      </c>
      <c r="C556" s="1" t="s">
        <v>1128</v>
      </c>
      <c r="D556" s="4">
        <v>37000</v>
      </c>
      <c r="E556" s="4">
        <v>100000</v>
      </c>
      <c r="F556" s="4">
        <v>68500</v>
      </c>
      <c r="G556" s="1" t="s">
        <v>1231</v>
      </c>
      <c r="H556" t="s">
        <v>1441</v>
      </c>
      <c r="I556" s="1" t="s">
        <v>1196</v>
      </c>
      <c r="J556" s="1" t="s">
        <v>780</v>
      </c>
      <c r="K556" s="1" t="s">
        <v>108</v>
      </c>
      <c r="L556" s="1" t="s">
        <v>109</v>
      </c>
      <c r="M556" s="1" t="s">
        <v>84</v>
      </c>
      <c r="N556" s="1" t="s">
        <v>338</v>
      </c>
      <c r="O556" s="1" t="s">
        <v>91</v>
      </c>
      <c r="P556">
        <v>46</v>
      </c>
      <c r="Q556" s="1">
        <v>0</v>
      </c>
      <c r="R556" s="1">
        <v>0</v>
      </c>
      <c r="S556" s="1">
        <v>0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 t="s">
        <v>33</v>
      </c>
      <c r="AH556" s="1" t="str">
        <f t="shared" si="8"/>
        <v>Jr</v>
      </c>
      <c r="AI556" t="s">
        <v>34</v>
      </c>
      <c r="AJ556" s="4">
        <v>68.5</v>
      </c>
      <c r="AK556" s="1">
        <f>Table1[[#This Row],[avg_salary]]*1000</f>
        <v>68500</v>
      </c>
    </row>
    <row r="557" spans="1:37" x14ac:dyDescent="0.3">
      <c r="A557" s="1">
        <v>707</v>
      </c>
      <c r="B557" s="1" t="s">
        <v>709</v>
      </c>
      <c r="C557" s="1" t="s">
        <v>1129</v>
      </c>
      <c r="D557" s="4">
        <v>58000</v>
      </c>
      <c r="E557" s="4">
        <v>111000</v>
      </c>
      <c r="F557" s="4">
        <v>84500</v>
      </c>
      <c r="G557" s="1" t="s">
        <v>1195</v>
      </c>
      <c r="H557" t="s">
        <v>1441</v>
      </c>
      <c r="I557" s="1" t="s">
        <v>1196</v>
      </c>
      <c r="J557" s="1" t="s">
        <v>781</v>
      </c>
      <c r="K557" s="1" t="s">
        <v>89</v>
      </c>
      <c r="L557" s="1" t="s">
        <v>89</v>
      </c>
      <c r="M557" s="1" t="s">
        <v>84</v>
      </c>
      <c r="N557" s="1" t="s">
        <v>689</v>
      </c>
      <c r="O557" s="1" t="s">
        <v>91</v>
      </c>
      <c r="P557">
        <v>53</v>
      </c>
      <c r="Q557" s="1">
        <v>0</v>
      </c>
      <c r="R557" s="1">
        <v>0</v>
      </c>
      <c r="S557" s="1">
        <v>1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 t="s">
        <v>71</v>
      </c>
      <c r="AH557" s="1" t="str">
        <f t="shared" si="8"/>
        <v>Jr</v>
      </c>
      <c r="AI557" t="s">
        <v>34</v>
      </c>
      <c r="AJ557" s="4">
        <v>84.5</v>
      </c>
      <c r="AK557" s="1">
        <f>Table1[[#This Row],[avg_salary]]*1000</f>
        <v>84500</v>
      </c>
    </row>
    <row r="558" spans="1:37" x14ac:dyDescent="0.3">
      <c r="A558" s="1">
        <v>708</v>
      </c>
      <c r="B558" s="1" t="s">
        <v>282</v>
      </c>
      <c r="C558" s="1" t="s">
        <v>1130</v>
      </c>
      <c r="D558" s="4">
        <v>72000</v>
      </c>
      <c r="E558" s="4">
        <v>133000</v>
      </c>
      <c r="F558" s="4">
        <v>102500</v>
      </c>
      <c r="G558" s="1" t="s">
        <v>1328</v>
      </c>
      <c r="H558" t="s">
        <v>1463</v>
      </c>
      <c r="I558" s="1" t="s">
        <v>1295</v>
      </c>
      <c r="J558" s="1" t="s">
        <v>781</v>
      </c>
      <c r="K558" s="1" t="s">
        <v>73</v>
      </c>
      <c r="L558" s="1" t="s">
        <v>74</v>
      </c>
      <c r="M558" s="1" t="s">
        <v>44</v>
      </c>
      <c r="N558" s="1" t="s">
        <v>447</v>
      </c>
      <c r="O558" s="1" t="s">
        <v>331</v>
      </c>
      <c r="P558">
        <v>21</v>
      </c>
      <c r="Q558" s="1">
        <v>1</v>
      </c>
      <c r="R558" s="1">
        <v>1</v>
      </c>
      <c r="S558" s="1">
        <v>1</v>
      </c>
      <c r="T558" s="1">
        <v>0</v>
      </c>
      <c r="U558" s="1">
        <v>1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1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 t="s">
        <v>98</v>
      </c>
      <c r="AH558" s="1" t="str">
        <f t="shared" si="8"/>
        <v>Jr</v>
      </c>
      <c r="AI558" t="s">
        <v>72</v>
      </c>
      <c r="AJ558" s="4">
        <v>102.5</v>
      </c>
      <c r="AK558" s="1">
        <f>Table1[[#This Row],[avg_salary]]*1000</f>
        <v>102500</v>
      </c>
    </row>
    <row r="559" spans="1:37" x14ac:dyDescent="0.3">
      <c r="A559" s="1">
        <v>709</v>
      </c>
      <c r="B559" s="1" t="s">
        <v>564</v>
      </c>
      <c r="C559" s="1" t="s">
        <v>1039</v>
      </c>
      <c r="D559" s="4">
        <v>56000</v>
      </c>
      <c r="E559" s="4">
        <v>91000</v>
      </c>
      <c r="F559" s="4">
        <v>73500</v>
      </c>
      <c r="G559" s="1" t="s">
        <v>1252</v>
      </c>
      <c r="H559" t="s">
        <v>1453</v>
      </c>
      <c r="I559" s="1" t="s">
        <v>1241</v>
      </c>
      <c r="J559" s="1" t="s">
        <v>322</v>
      </c>
      <c r="K559" s="1" t="s">
        <v>323</v>
      </c>
      <c r="L559" s="1" t="s">
        <v>255</v>
      </c>
      <c r="M559" s="1" t="s">
        <v>54</v>
      </c>
      <c r="N559" s="1" t="s">
        <v>324</v>
      </c>
      <c r="O559" s="1" t="s">
        <v>194</v>
      </c>
      <c r="P559">
        <v>57</v>
      </c>
      <c r="Q559" s="1">
        <v>0</v>
      </c>
      <c r="R559" s="1">
        <v>0</v>
      </c>
      <c r="S559" s="1">
        <v>0</v>
      </c>
      <c r="T559" s="1">
        <v>1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 t="s">
        <v>71</v>
      </c>
      <c r="AH559" s="1" t="str">
        <f t="shared" si="8"/>
        <v>Jr</v>
      </c>
      <c r="AI559" t="s">
        <v>72</v>
      </c>
      <c r="AJ559" s="4">
        <v>73.5</v>
      </c>
      <c r="AK559" s="1">
        <f>Table1[[#This Row],[avg_salary]]*1000</f>
        <v>73500</v>
      </c>
    </row>
    <row r="560" spans="1:37" x14ac:dyDescent="0.3">
      <c r="A560" s="1">
        <v>711</v>
      </c>
      <c r="B560" s="1" t="s">
        <v>710</v>
      </c>
      <c r="C560" s="1" t="s">
        <v>1131</v>
      </c>
      <c r="D560" s="4">
        <v>61000</v>
      </c>
      <c r="E560" s="4">
        <v>126000</v>
      </c>
      <c r="F560" s="4">
        <v>93500</v>
      </c>
      <c r="G560" s="1" t="s">
        <v>1227</v>
      </c>
      <c r="H560" t="s">
        <v>1450</v>
      </c>
      <c r="I560" s="1" t="s">
        <v>1228</v>
      </c>
      <c r="J560" s="1" t="s">
        <v>107</v>
      </c>
      <c r="K560" s="1" t="s">
        <v>246</v>
      </c>
      <c r="L560" s="1" t="s">
        <v>47</v>
      </c>
      <c r="M560" s="1" t="s">
        <v>30</v>
      </c>
      <c r="N560" s="1" t="s">
        <v>711</v>
      </c>
      <c r="O560" s="1" t="s">
        <v>168</v>
      </c>
      <c r="P560">
        <v>35</v>
      </c>
      <c r="Q560" s="1">
        <v>1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 t="s">
        <v>71</v>
      </c>
      <c r="AH560" s="1" t="str">
        <f t="shared" si="8"/>
        <v>Jr</v>
      </c>
      <c r="AI560" t="s">
        <v>34</v>
      </c>
      <c r="AJ560" s="4">
        <v>93.5</v>
      </c>
      <c r="AK560" s="1">
        <f>Table1[[#This Row],[avg_salary]]*1000</f>
        <v>93500</v>
      </c>
    </row>
    <row r="561" spans="1:37" x14ac:dyDescent="0.3">
      <c r="A561" s="1">
        <v>712</v>
      </c>
      <c r="B561" s="1" t="s">
        <v>712</v>
      </c>
      <c r="C561" s="1" t="s">
        <v>1132</v>
      </c>
      <c r="D561" s="4">
        <v>95000</v>
      </c>
      <c r="E561" s="4">
        <v>160000</v>
      </c>
      <c r="F561" s="4">
        <v>127500</v>
      </c>
      <c r="G561" s="1" t="s">
        <v>1393</v>
      </c>
      <c r="H561" t="s">
        <v>1453</v>
      </c>
      <c r="I561" s="1" t="s">
        <v>1241</v>
      </c>
      <c r="J561" s="1" t="s">
        <v>780</v>
      </c>
      <c r="K561" s="1" t="s">
        <v>200</v>
      </c>
      <c r="L561" s="1" t="s">
        <v>43</v>
      </c>
      <c r="M561" s="1" t="s">
        <v>201</v>
      </c>
      <c r="N561" s="1" t="s">
        <v>202</v>
      </c>
      <c r="O561" s="1" t="s">
        <v>194</v>
      </c>
      <c r="P561">
        <v>59</v>
      </c>
      <c r="Q561" s="1">
        <v>0</v>
      </c>
      <c r="R561" s="1">
        <v>0</v>
      </c>
      <c r="S561" s="1">
        <v>0</v>
      </c>
      <c r="T561" s="1">
        <v>1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 t="s">
        <v>33</v>
      </c>
      <c r="AH561" s="1" t="str">
        <f t="shared" si="8"/>
        <v>Sr</v>
      </c>
      <c r="AI561" t="s">
        <v>34</v>
      </c>
      <c r="AJ561" s="4">
        <v>127.5</v>
      </c>
      <c r="AK561" s="1">
        <f>Table1[[#This Row],[avg_salary]]*1000</f>
        <v>127500</v>
      </c>
    </row>
    <row r="562" spans="1:37" x14ac:dyDescent="0.3">
      <c r="A562" s="1">
        <v>714</v>
      </c>
      <c r="B562" s="1" t="s">
        <v>713</v>
      </c>
      <c r="C562" s="1" t="s">
        <v>782</v>
      </c>
      <c r="D562" s="4">
        <v>53000</v>
      </c>
      <c r="E562" s="4">
        <v>91000</v>
      </c>
      <c r="F562" s="4">
        <v>72000</v>
      </c>
      <c r="G562" s="1" t="s">
        <v>1312</v>
      </c>
      <c r="H562" t="s">
        <v>1462</v>
      </c>
      <c r="I562" s="1" t="s">
        <v>1293</v>
      </c>
      <c r="J562" s="1" t="s">
        <v>107</v>
      </c>
      <c r="K562" s="1" t="s">
        <v>315</v>
      </c>
      <c r="L562" s="1" t="s">
        <v>316</v>
      </c>
      <c r="M562" s="1" t="s">
        <v>54</v>
      </c>
      <c r="N562" s="1" t="s">
        <v>317</v>
      </c>
      <c r="O562" s="1" t="s">
        <v>318</v>
      </c>
      <c r="P562">
        <v>53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1</v>
      </c>
      <c r="AC562" s="1">
        <v>0</v>
      </c>
      <c r="AD562" s="1">
        <v>0</v>
      </c>
      <c r="AE562" s="1">
        <v>0</v>
      </c>
      <c r="AF562" s="1">
        <v>0</v>
      </c>
      <c r="AG562" s="1" t="s">
        <v>88</v>
      </c>
      <c r="AH562" s="1" t="str">
        <f t="shared" si="8"/>
        <v>Jr</v>
      </c>
      <c r="AI562" t="s">
        <v>34</v>
      </c>
      <c r="AJ562" s="4">
        <v>72</v>
      </c>
      <c r="AK562" s="1">
        <f>Table1[[#This Row],[avg_salary]]*1000</f>
        <v>72000</v>
      </c>
    </row>
    <row r="563" spans="1:37" x14ac:dyDescent="0.3">
      <c r="A563" s="1">
        <v>715</v>
      </c>
      <c r="B563" s="1" t="s">
        <v>565</v>
      </c>
      <c r="C563" s="1" t="s">
        <v>1040</v>
      </c>
      <c r="D563" s="4">
        <v>101000</v>
      </c>
      <c r="E563" s="4">
        <v>158000</v>
      </c>
      <c r="F563" s="4">
        <v>129500</v>
      </c>
      <c r="G563" s="1" t="s">
        <v>1231</v>
      </c>
      <c r="H563" t="s">
        <v>1441</v>
      </c>
      <c r="I563" s="1" t="s">
        <v>1196</v>
      </c>
      <c r="J563" s="1" t="s">
        <v>780</v>
      </c>
      <c r="K563" s="1" t="s">
        <v>108</v>
      </c>
      <c r="L563" s="1" t="s">
        <v>109</v>
      </c>
      <c r="M563" s="1" t="s">
        <v>84</v>
      </c>
      <c r="N563" s="1" t="s">
        <v>338</v>
      </c>
      <c r="O563" s="1" t="s">
        <v>91</v>
      </c>
      <c r="P563">
        <v>32</v>
      </c>
      <c r="Q563" s="1">
        <v>1</v>
      </c>
      <c r="R563" s="1">
        <v>1</v>
      </c>
      <c r="S563" s="1">
        <v>1</v>
      </c>
      <c r="T563" s="1">
        <v>1</v>
      </c>
      <c r="U563" s="1">
        <v>1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1</v>
      </c>
      <c r="AB563" s="1">
        <v>1</v>
      </c>
      <c r="AC563" s="1">
        <v>1</v>
      </c>
      <c r="AD563" s="1">
        <v>0</v>
      </c>
      <c r="AE563" s="1">
        <v>0</v>
      </c>
      <c r="AF563" s="1">
        <v>0</v>
      </c>
      <c r="AG563" t="s">
        <v>1472</v>
      </c>
      <c r="AH563" s="1" t="str">
        <f t="shared" si="8"/>
        <v>Sr</v>
      </c>
      <c r="AI563" t="s">
        <v>34</v>
      </c>
      <c r="AJ563" s="4">
        <v>129.5</v>
      </c>
      <c r="AK563" s="1">
        <f>Table1[[#This Row],[avg_salary]]*1000</f>
        <v>129500</v>
      </c>
    </row>
    <row r="564" spans="1:37" x14ac:dyDescent="0.3">
      <c r="A564" s="1">
        <v>718</v>
      </c>
      <c r="B564" s="1" t="s">
        <v>714</v>
      </c>
      <c r="C564" s="1" t="s">
        <v>1133</v>
      </c>
      <c r="D564" s="4">
        <v>33000</v>
      </c>
      <c r="E564" s="4">
        <v>61000</v>
      </c>
      <c r="F564" s="4">
        <v>47000</v>
      </c>
      <c r="G564" s="1" t="s">
        <v>1394</v>
      </c>
      <c r="H564" t="s">
        <v>1462</v>
      </c>
      <c r="I564" s="1" t="s">
        <v>1293</v>
      </c>
      <c r="J564" s="1" t="s">
        <v>780</v>
      </c>
      <c r="K564" s="1" t="s">
        <v>157</v>
      </c>
      <c r="L564" s="1" t="s">
        <v>158</v>
      </c>
      <c r="M564" s="1" t="s">
        <v>50</v>
      </c>
      <c r="N564" s="1" t="s">
        <v>715</v>
      </c>
      <c r="O564" s="1" t="s">
        <v>318</v>
      </c>
      <c r="P564">
        <v>23</v>
      </c>
      <c r="Q564" s="1">
        <v>1</v>
      </c>
      <c r="R564" s="1">
        <v>0</v>
      </c>
      <c r="S564" s="1">
        <v>0</v>
      </c>
      <c r="T564" s="1">
        <v>1</v>
      </c>
      <c r="U564" s="1">
        <v>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1</v>
      </c>
      <c r="AC564" s="1">
        <v>0</v>
      </c>
      <c r="AD564" s="1">
        <v>0</v>
      </c>
      <c r="AE564" s="1">
        <v>0</v>
      </c>
      <c r="AF564" s="1">
        <v>0</v>
      </c>
      <c r="AG564" s="1" t="s">
        <v>88</v>
      </c>
      <c r="AH564" s="1" t="str">
        <f t="shared" si="8"/>
        <v>Jr</v>
      </c>
      <c r="AI564" t="s">
        <v>34</v>
      </c>
      <c r="AJ564" s="4">
        <v>47</v>
      </c>
      <c r="AK564" s="1">
        <f>Table1[[#This Row],[avg_salary]]*1000</f>
        <v>47000</v>
      </c>
    </row>
    <row r="565" spans="1:37" x14ac:dyDescent="0.3">
      <c r="A565" s="1">
        <v>719</v>
      </c>
      <c r="B565" s="1" t="s">
        <v>716</v>
      </c>
      <c r="C565" s="1" t="s">
        <v>951</v>
      </c>
      <c r="D565" s="4">
        <v>44000</v>
      </c>
      <c r="E565" s="4">
        <v>86000</v>
      </c>
      <c r="F565" s="4">
        <v>65000</v>
      </c>
      <c r="G565" s="1" t="s">
        <v>1395</v>
      </c>
      <c r="H565" t="s">
        <v>1451</v>
      </c>
      <c r="I565" s="1" t="s">
        <v>1233</v>
      </c>
      <c r="J565" s="1" t="s">
        <v>93</v>
      </c>
      <c r="K565" s="1" t="s">
        <v>681</v>
      </c>
      <c r="L565" s="1" t="s">
        <v>653</v>
      </c>
      <c r="M565" s="1" t="s">
        <v>54</v>
      </c>
      <c r="N565" s="1" t="s">
        <v>717</v>
      </c>
      <c r="O565" s="1" t="s">
        <v>177</v>
      </c>
      <c r="P565">
        <v>31</v>
      </c>
      <c r="Q565" s="1">
        <v>1</v>
      </c>
      <c r="R565" s="1">
        <v>1</v>
      </c>
      <c r="S565" s="1">
        <v>1</v>
      </c>
      <c r="T565" s="1">
        <v>1</v>
      </c>
      <c r="U565" s="1">
        <v>1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 t="s">
        <v>98</v>
      </c>
      <c r="AH565" s="1" t="str">
        <f t="shared" si="8"/>
        <v>Jr</v>
      </c>
      <c r="AI565" t="s">
        <v>34</v>
      </c>
      <c r="AJ565" s="4">
        <v>65</v>
      </c>
      <c r="AK565" s="1">
        <f>Table1[[#This Row],[avg_salary]]*1000</f>
        <v>65000</v>
      </c>
    </row>
    <row r="566" spans="1:37" x14ac:dyDescent="0.3">
      <c r="A566" s="1">
        <v>721</v>
      </c>
      <c r="B566" s="1" t="s">
        <v>567</v>
      </c>
      <c r="C566" s="1" t="s">
        <v>1042</v>
      </c>
      <c r="D566" s="4">
        <v>43000</v>
      </c>
      <c r="E566" s="4">
        <v>77000</v>
      </c>
      <c r="F566" s="4">
        <v>60000</v>
      </c>
      <c r="G566" s="1" t="s">
        <v>1365</v>
      </c>
      <c r="H566" t="s">
        <v>1457</v>
      </c>
      <c r="I566" s="1" t="s">
        <v>1266</v>
      </c>
      <c r="J566" s="1" t="s">
        <v>781</v>
      </c>
      <c r="K566" s="1" t="s">
        <v>61</v>
      </c>
      <c r="L566" s="1" t="s">
        <v>62</v>
      </c>
      <c r="M566" s="1" t="s">
        <v>58</v>
      </c>
      <c r="N566" s="1" t="s">
        <v>568</v>
      </c>
      <c r="O566" s="1" t="s">
        <v>249</v>
      </c>
      <c r="P566">
        <v>18</v>
      </c>
      <c r="Q566" s="1">
        <v>0</v>
      </c>
      <c r="R566" s="1">
        <v>0</v>
      </c>
      <c r="S566" s="1">
        <v>1</v>
      </c>
      <c r="T566" s="1">
        <v>1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 t="s">
        <v>88</v>
      </c>
      <c r="AH566" s="1" t="str">
        <f t="shared" si="8"/>
        <v>Jr</v>
      </c>
      <c r="AI566" t="s">
        <v>34</v>
      </c>
      <c r="AJ566" s="4">
        <v>60</v>
      </c>
      <c r="AK566" s="1">
        <f>Table1[[#This Row],[avg_salary]]*1000</f>
        <v>60000</v>
      </c>
    </row>
    <row r="567" spans="1:37" x14ac:dyDescent="0.3">
      <c r="A567" s="1">
        <v>722</v>
      </c>
      <c r="B567" s="1" t="s">
        <v>566</v>
      </c>
      <c r="C567" s="1" t="s">
        <v>1041</v>
      </c>
      <c r="D567" s="4">
        <v>125000</v>
      </c>
      <c r="E567" s="4">
        <v>210000</v>
      </c>
      <c r="F567" s="4">
        <v>167500</v>
      </c>
      <c r="G567" s="1" t="s">
        <v>1183</v>
      </c>
      <c r="H567" t="s">
        <v>1183</v>
      </c>
      <c r="I567" s="1" t="s">
        <v>1184</v>
      </c>
      <c r="J567" s="1" t="s">
        <v>781</v>
      </c>
      <c r="K567" s="1" t="s">
        <v>89</v>
      </c>
      <c r="L567" s="1" t="s">
        <v>89</v>
      </c>
      <c r="M567" s="1" t="s">
        <v>84</v>
      </c>
      <c r="N567" s="1" t="s">
        <v>126</v>
      </c>
      <c r="O567" s="1" t="s">
        <v>56</v>
      </c>
      <c r="P567">
        <v>59</v>
      </c>
      <c r="Q567" s="1">
        <v>0</v>
      </c>
      <c r="R567" s="1">
        <v>0</v>
      </c>
      <c r="S567" s="1">
        <v>1</v>
      </c>
      <c r="T567" s="1">
        <v>1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 t="s">
        <v>33</v>
      </c>
      <c r="AH567" s="1" t="str">
        <f t="shared" si="8"/>
        <v>Sr</v>
      </c>
      <c r="AI567" t="s">
        <v>34</v>
      </c>
      <c r="AJ567" s="4">
        <v>167.5</v>
      </c>
      <c r="AK567" s="1">
        <f>Table1[[#This Row],[avg_salary]]*1000</f>
        <v>167500</v>
      </c>
    </row>
    <row r="568" spans="1:37" x14ac:dyDescent="0.3">
      <c r="A568" s="1">
        <v>723</v>
      </c>
      <c r="B568" s="1" t="s">
        <v>569</v>
      </c>
      <c r="C568" s="1" t="s">
        <v>951</v>
      </c>
      <c r="D568" s="4">
        <v>44000</v>
      </c>
      <c r="E568" s="4">
        <v>86000</v>
      </c>
      <c r="F568" s="4">
        <v>65000</v>
      </c>
      <c r="G568" s="1" t="s">
        <v>1183</v>
      </c>
      <c r="H568" t="s">
        <v>1183</v>
      </c>
      <c r="I568" s="1" t="s">
        <v>1184</v>
      </c>
      <c r="J568" s="1" t="s">
        <v>780</v>
      </c>
      <c r="K568" s="1" t="s">
        <v>311</v>
      </c>
      <c r="L568" s="1" t="s">
        <v>312</v>
      </c>
      <c r="M568" s="1" t="s">
        <v>39</v>
      </c>
      <c r="N568" s="1" t="s">
        <v>427</v>
      </c>
      <c r="O568" s="1" t="s">
        <v>56</v>
      </c>
      <c r="P568">
        <v>46</v>
      </c>
      <c r="Q568" s="1">
        <v>0</v>
      </c>
      <c r="R568" s="1">
        <v>0</v>
      </c>
      <c r="S568" s="1">
        <v>0</v>
      </c>
      <c r="T568" s="1">
        <v>1</v>
      </c>
      <c r="U568" s="1">
        <v>1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 t="s">
        <v>88</v>
      </c>
      <c r="AH568" s="1" t="str">
        <f t="shared" si="8"/>
        <v>Jr</v>
      </c>
      <c r="AI568" t="s">
        <v>34</v>
      </c>
      <c r="AJ568" s="4">
        <v>65</v>
      </c>
      <c r="AK568" s="1">
        <f>Table1[[#This Row],[avg_salary]]*1000</f>
        <v>65000</v>
      </c>
    </row>
    <row r="569" spans="1:37" x14ac:dyDescent="0.3">
      <c r="A569" s="1">
        <v>725</v>
      </c>
      <c r="B569" s="1" t="s">
        <v>264</v>
      </c>
      <c r="C569" s="1" t="s">
        <v>1134</v>
      </c>
      <c r="D569" s="4">
        <v>69000</v>
      </c>
      <c r="E569" s="4">
        <v>119000</v>
      </c>
      <c r="F569" s="4">
        <v>94000</v>
      </c>
      <c r="G569" s="1" t="s">
        <v>1207</v>
      </c>
      <c r="H569" t="s">
        <v>1440</v>
      </c>
      <c r="I569" s="1" t="s">
        <v>1192</v>
      </c>
      <c r="J569" s="1" t="s">
        <v>780</v>
      </c>
      <c r="K569" s="1" t="s">
        <v>103</v>
      </c>
      <c r="L569" s="1" t="s">
        <v>74</v>
      </c>
      <c r="M569" s="1" t="s">
        <v>44</v>
      </c>
      <c r="N569" s="1" t="s">
        <v>124</v>
      </c>
      <c r="O569" s="1" t="s">
        <v>81</v>
      </c>
      <c r="P569">
        <v>23</v>
      </c>
      <c r="Q569" s="1">
        <v>1</v>
      </c>
      <c r="R569" s="1">
        <v>0</v>
      </c>
      <c r="S569" s="1">
        <v>0</v>
      </c>
      <c r="T569" s="1">
        <v>0</v>
      </c>
      <c r="U569" s="1">
        <v>1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 t="s">
        <v>88</v>
      </c>
      <c r="AH569" s="1" t="str">
        <f t="shared" si="8"/>
        <v>Jr</v>
      </c>
      <c r="AI569" t="s">
        <v>72</v>
      </c>
      <c r="AJ569" s="4">
        <v>94</v>
      </c>
      <c r="AK569" s="1">
        <f>Table1[[#This Row],[avg_salary]]*1000</f>
        <v>94000</v>
      </c>
    </row>
    <row r="570" spans="1:37" x14ac:dyDescent="0.3">
      <c r="A570" s="1">
        <v>726</v>
      </c>
      <c r="B570" s="1" t="s">
        <v>264</v>
      </c>
      <c r="C570" s="1" t="s">
        <v>869</v>
      </c>
      <c r="D570" s="4">
        <v>65000</v>
      </c>
      <c r="E570" s="4">
        <v>110000</v>
      </c>
      <c r="F570" s="4">
        <v>87500</v>
      </c>
      <c r="G570" s="1" t="s">
        <v>1183</v>
      </c>
      <c r="H570" t="s">
        <v>1183</v>
      </c>
      <c r="I570" s="1" t="s">
        <v>1184</v>
      </c>
      <c r="J570" s="1" t="s">
        <v>780</v>
      </c>
      <c r="K570" s="1" t="s">
        <v>83</v>
      </c>
      <c r="L570" s="1" t="s">
        <v>77</v>
      </c>
      <c r="M570" s="1" t="s">
        <v>44</v>
      </c>
      <c r="N570" s="1" t="s">
        <v>571</v>
      </c>
      <c r="O570" s="1" t="s">
        <v>56</v>
      </c>
      <c r="P570">
        <v>39</v>
      </c>
      <c r="Q570" s="1">
        <v>1</v>
      </c>
      <c r="R570" s="1">
        <v>0</v>
      </c>
      <c r="S570" s="1">
        <v>0</v>
      </c>
      <c r="T570" s="1">
        <v>1</v>
      </c>
      <c r="U570" s="1">
        <v>1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1</v>
      </c>
      <c r="AG570" s="1" t="s">
        <v>88</v>
      </c>
      <c r="AH570" s="1" t="str">
        <f t="shared" si="8"/>
        <v>Jr</v>
      </c>
      <c r="AI570" t="s">
        <v>72</v>
      </c>
      <c r="AJ570" s="4">
        <v>87.5</v>
      </c>
      <c r="AK570" s="1">
        <f>Table1[[#This Row],[avg_salary]]*1000</f>
        <v>87500</v>
      </c>
    </row>
    <row r="571" spans="1:37" x14ac:dyDescent="0.3">
      <c r="A571" s="1">
        <v>727</v>
      </c>
      <c r="B571" s="1" t="s">
        <v>282</v>
      </c>
      <c r="C571" s="1" t="s">
        <v>1135</v>
      </c>
      <c r="D571" s="4">
        <v>67000</v>
      </c>
      <c r="E571" s="4">
        <v>127000</v>
      </c>
      <c r="F571" s="4">
        <v>97000</v>
      </c>
      <c r="G571" s="1" t="s">
        <v>1396</v>
      </c>
      <c r="H571" t="s">
        <v>1440</v>
      </c>
      <c r="I571" s="1" t="s">
        <v>1192</v>
      </c>
      <c r="J571" s="1" t="s">
        <v>780</v>
      </c>
      <c r="K571" s="1" t="s">
        <v>103</v>
      </c>
      <c r="L571" s="1" t="s">
        <v>74</v>
      </c>
      <c r="M571" s="1" t="s">
        <v>44</v>
      </c>
      <c r="N571" s="1" t="s">
        <v>124</v>
      </c>
      <c r="O571" s="1" t="s">
        <v>81</v>
      </c>
      <c r="P571">
        <v>37</v>
      </c>
      <c r="Q571" s="1">
        <v>1</v>
      </c>
      <c r="R571" s="1">
        <v>1</v>
      </c>
      <c r="S571" s="1">
        <v>1</v>
      </c>
      <c r="T571" s="1">
        <v>0</v>
      </c>
      <c r="U571" s="1">
        <v>1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1</v>
      </c>
      <c r="AB571" s="1">
        <v>0</v>
      </c>
      <c r="AC571" s="1">
        <v>0</v>
      </c>
      <c r="AD571" s="1">
        <v>1</v>
      </c>
      <c r="AE571" s="1">
        <v>0</v>
      </c>
      <c r="AF571" s="1">
        <v>0</v>
      </c>
      <c r="AG571" s="1" t="s">
        <v>98</v>
      </c>
      <c r="AH571" s="1" t="str">
        <f t="shared" si="8"/>
        <v>Jr</v>
      </c>
      <c r="AI571" t="s">
        <v>72</v>
      </c>
      <c r="AJ571" s="4">
        <v>97</v>
      </c>
      <c r="AK571" s="1">
        <f>Table1[[#This Row],[avg_salary]]*1000</f>
        <v>97000</v>
      </c>
    </row>
    <row r="572" spans="1:37" x14ac:dyDescent="0.3">
      <c r="A572" s="1">
        <v>728</v>
      </c>
      <c r="B572" s="1" t="s">
        <v>282</v>
      </c>
      <c r="C572" s="1" t="s">
        <v>1044</v>
      </c>
      <c r="D572" s="4">
        <v>78000</v>
      </c>
      <c r="E572" s="4">
        <v>147000</v>
      </c>
      <c r="F572" s="4">
        <v>112500</v>
      </c>
      <c r="G572" s="1" t="s">
        <v>1366</v>
      </c>
      <c r="H572" t="s">
        <v>1458</v>
      </c>
      <c r="I572" s="1" t="s">
        <v>1271</v>
      </c>
      <c r="J572" s="1" t="s">
        <v>780</v>
      </c>
      <c r="K572" s="1" t="s">
        <v>145</v>
      </c>
      <c r="L572" s="1" t="s">
        <v>74</v>
      </c>
      <c r="M572" s="1" t="s">
        <v>58</v>
      </c>
      <c r="N572" s="1" t="s">
        <v>570</v>
      </c>
      <c r="O572" s="1" t="s">
        <v>259</v>
      </c>
      <c r="P572">
        <v>45</v>
      </c>
      <c r="Q572" s="1">
        <v>1</v>
      </c>
      <c r="R572" s="1">
        <v>1</v>
      </c>
      <c r="S572" s="1">
        <v>1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>
        <v>1</v>
      </c>
      <c r="AE572" s="1">
        <v>0</v>
      </c>
      <c r="AF572" s="1">
        <v>0</v>
      </c>
      <c r="AG572" s="1" t="s">
        <v>98</v>
      </c>
      <c r="AH572" s="1" t="str">
        <f t="shared" si="8"/>
        <v>Jr</v>
      </c>
      <c r="AI572" t="s">
        <v>72</v>
      </c>
      <c r="AJ572" s="4">
        <v>112.5</v>
      </c>
      <c r="AK572" s="1">
        <f>Table1[[#This Row],[avg_salary]]*1000</f>
        <v>112500</v>
      </c>
    </row>
    <row r="573" spans="1:37" x14ac:dyDescent="0.3">
      <c r="A573" s="1">
        <v>730</v>
      </c>
      <c r="B573" s="1" t="s">
        <v>718</v>
      </c>
      <c r="C573" s="1" t="s">
        <v>1136</v>
      </c>
      <c r="D573" s="4">
        <v>66000</v>
      </c>
      <c r="E573" s="4">
        <v>117000</v>
      </c>
      <c r="F573" s="4">
        <v>91500</v>
      </c>
      <c r="G573" s="1" t="s">
        <v>1231</v>
      </c>
      <c r="H573" t="s">
        <v>1441</v>
      </c>
      <c r="I573" s="1" t="s">
        <v>1196</v>
      </c>
      <c r="J573" s="1" t="s">
        <v>780</v>
      </c>
      <c r="K573" s="1" t="s">
        <v>108</v>
      </c>
      <c r="L573" s="1" t="s">
        <v>109</v>
      </c>
      <c r="M573" s="1" t="s">
        <v>84</v>
      </c>
      <c r="N573" s="1" t="s">
        <v>338</v>
      </c>
      <c r="O573" s="1" t="s">
        <v>91</v>
      </c>
      <c r="P573">
        <v>52</v>
      </c>
      <c r="Q573" s="1">
        <v>0</v>
      </c>
      <c r="R573" s="1">
        <v>1</v>
      </c>
      <c r="S573" s="1">
        <v>1</v>
      </c>
      <c r="T573" s="1">
        <v>1</v>
      </c>
      <c r="U573" s="1">
        <v>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 t="s">
        <v>242</v>
      </c>
      <c r="AH573" s="1" t="str">
        <f t="shared" si="8"/>
        <v>Jr</v>
      </c>
      <c r="AI573" t="s">
        <v>72</v>
      </c>
      <c r="AJ573" s="4">
        <v>91.5</v>
      </c>
      <c r="AK573" s="1">
        <f>Table1[[#This Row],[avg_salary]]*1000</f>
        <v>91500</v>
      </c>
    </row>
    <row r="574" spans="1:37" x14ac:dyDescent="0.3">
      <c r="A574" s="1">
        <v>731</v>
      </c>
      <c r="B574" s="1" t="s">
        <v>572</v>
      </c>
      <c r="C574" s="1" t="s">
        <v>1045</v>
      </c>
      <c r="D574" s="4">
        <v>37000</v>
      </c>
      <c r="E574" s="4">
        <v>66000</v>
      </c>
      <c r="F574" s="4">
        <v>51500</v>
      </c>
      <c r="G574" s="1" t="s">
        <v>1247</v>
      </c>
      <c r="H574" t="s">
        <v>1455</v>
      </c>
      <c r="I574" s="1" t="s">
        <v>1248</v>
      </c>
      <c r="J574" s="1" t="s">
        <v>780</v>
      </c>
      <c r="K574" s="1" t="s">
        <v>108</v>
      </c>
      <c r="L574" s="1" t="s">
        <v>109</v>
      </c>
      <c r="M574" s="1" t="s">
        <v>84</v>
      </c>
      <c r="N574" s="1" t="s">
        <v>174</v>
      </c>
      <c r="O574" s="1" t="s">
        <v>207</v>
      </c>
      <c r="P574">
        <v>40</v>
      </c>
      <c r="Q574" s="1">
        <v>1</v>
      </c>
      <c r="R574" s="1">
        <v>0</v>
      </c>
      <c r="S574" s="1">
        <v>0</v>
      </c>
      <c r="T574" s="1">
        <v>1</v>
      </c>
      <c r="U574" s="1">
        <v>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1</v>
      </c>
      <c r="AD574" s="1">
        <v>0</v>
      </c>
      <c r="AE574" s="1">
        <v>0</v>
      </c>
      <c r="AF574" s="1">
        <v>0</v>
      </c>
      <c r="AG574" s="1" t="s">
        <v>242</v>
      </c>
      <c r="AH574" s="1" t="str">
        <f t="shared" si="8"/>
        <v>Jr</v>
      </c>
      <c r="AI574" t="s">
        <v>34</v>
      </c>
      <c r="AJ574" s="4">
        <v>51.5</v>
      </c>
      <c r="AK574" s="1">
        <f>Table1[[#This Row],[avg_salary]]*1000</f>
        <v>51500</v>
      </c>
    </row>
    <row r="575" spans="1:37" x14ac:dyDescent="0.3">
      <c r="A575" s="1">
        <v>732</v>
      </c>
      <c r="B575" s="1" t="s">
        <v>719</v>
      </c>
      <c r="C575" s="1" t="s">
        <v>786</v>
      </c>
      <c r="D575" s="4">
        <v>86000</v>
      </c>
      <c r="E575" s="4">
        <v>143000</v>
      </c>
      <c r="F575" s="4">
        <v>114500</v>
      </c>
      <c r="G575" s="1" t="s">
        <v>1195</v>
      </c>
      <c r="H575" t="s">
        <v>1441</v>
      </c>
      <c r="I575" s="1" t="s">
        <v>1196</v>
      </c>
      <c r="J575" s="1" t="s">
        <v>781</v>
      </c>
      <c r="K575" s="1" t="s">
        <v>89</v>
      </c>
      <c r="L575" s="1" t="s">
        <v>89</v>
      </c>
      <c r="M575" s="1" t="s">
        <v>84</v>
      </c>
      <c r="N575" s="1" t="s">
        <v>137</v>
      </c>
      <c r="O575" s="1" t="s">
        <v>91</v>
      </c>
      <c r="P575">
        <v>38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 t="s">
        <v>33</v>
      </c>
      <c r="AH575" s="1" t="str">
        <f t="shared" si="8"/>
        <v>Sr</v>
      </c>
      <c r="AI575" t="s">
        <v>34</v>
      </c>
      <c r="AJ575" s="4">
        <v>114.5</v>
      </c>
      <c r="AK575" s="1">
        <f>Table1[[#This Row],[avg_salary]]*1000</f>
        <v>114500</v>
      </c>
    </row>
    <row r="576" spans="1:37" x14ac:dyDescent="0.3">
      <c r="A576" s="1">
        <v>733</v>
      </c>
      <c r="B576" s="1" t="s">
        <v>28</v>
      </c>
      <c r="C576" s="1" t="s">
        <v>832</v>
      </c>
      <c r="D576" s="4">
        <v>84000</v>
      </c>
      <c r="E576" s="4">
        <v>146000</v>
      </c>
      <c r="F576" s="4">
        <v>115000</v>
      </c>
      <c r="G576" s="1" t="s">
        <v>1183</v>
      </c>
      <c r="H576" t="s">
        <v>1183</v>
      </c>
      <c r="I576" s="1" t="s">
        <v>1184</v>
      </c>
      <c r="J576" s="1" t="s">
        <v>780</v>
      </c>
      <c r="K576" s="1" t="s">
        <v>64</v>
      </c>
      <c r="L576" s="1" t="s">
        <v>43</v>
      </c>
      <c r="M576" s="1" t="s">
        <v>121</v>
      </c>
      <c r="N576" s="1" t="s">
        <v>186</v>
      </c>
      <c r="O576" s="1" t="s">
        <v>56</v>
      </c>
      <c r="P576">
        <v>52</v>
      </c>
      <c r="Q576" s="1">
        <v>1</v>
      </c>
      <c r="R576" s="1">
        <v>1</v>
      </c>
      <c r="S576" s="1">
        <v>1</v>
      </c>
      <c r="T576" s="1">
        <v>0</v>
      </c>
      <c r="U576" s="1">
        <v>1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1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 t="s">
        <v>33</v>
      </c>
      <c r="AH576" s="1" t="str">
        <f t="shared" si="8"/>
        <v>Sr</v>
      </c>
      <c r="AI576" t="s">
        <v>34</v>
      </c>
      <c r="AJ576" s="4">
        <v>115</v>
      </c>
      <c r="AK576" s="1">
        <f>Table1[[#This Row],[avg_salary]]*1000</f>
        <v>115000</v>
      </c>
    </row>
    <row r="577" spans="1:37" x14ac:dyDescent="0.3">
      <c r="A577" s="1">
        <v>734</v>
      </c>
      <c r="B577" s="1" t="s">
        <v>720</v>
      </c>
      <c r="C577" s="1" t="s">
        <v>1137</v>
      </c>
      <c r="D577" s="4">
        <v>50000</v>
      </c>
      <c r="E577" s="4">
        <v>98000</v>
      </c>
      <c r="F577" s="4">
        <v>74000</v>
      </c>
      <c r="G577" s="1" t="s">
        <v>1335</v>
      </c>
      <c r="H577" t="s">
        <v>1453</v>
      </c>
      <c r="I577" s="1" t="s">
        <v>1241</v>
      </c>
      <c r="J577" s="1" t="s">
        <v>780</v>
      </c>
      <c r="K577" s="1" t="s">
        <v>200</v>
      </c>
      <c r="L577" s="1" t="s">
        <v>43</v>
      </c>
      <c r="M577" s="1" t="s">
        <v>201</v>
      </c>
      <c r="N577" s="1" t="s">
        <v>202</v>
      </c>
      <c r="O577" s="1" t="s">
        <v>194</v>
      </c>
      <c r="P577">
        <v>29</v>
      </c>
      <c r="Q577" s="1">
        <v>1</v>
      </c>
      <c r="R577" s="1">
        <v>0</v>
      </c>
      <c r="S577" s="1">
        <v>1</v>
      </c>
      <c r="T577" s="1">
        <v>0</v>
      </c>
      <c r="U577" s="1">
        <v>1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 t="s">
        <v>295</v>
      </c>
      <c r="AH577" s="1" t="str">
        <f t="shared" si="8"/>
        <v>Jr</v>
      </c>
      <c r="AI577" t="s">
        <v>34</v>
      </c>
      <c r="AJ577" s="4">
        <v>74</v>
      </c>
      <c r="AK577" s="1">
        <f>Table1[[#This Row],[avg_salary]]*1000</f>
        <v>74000</v>
      </c>
    </row>
    <row r="578" spans="1:37" x14ac:dyDescent="0.3">
      <c r="A578" s="1">
        <v>735</v>
      </c>
      <c r="B578" s="1" t="s">
        <v>573</v>
      </c>
      <c r="C578" s="1" t="s">
        <v>1046</v>
      </c>
      <c r="D578" s="4">
        <v>38000</v>
      </c>
      <c r="E578" s="4">
        <v>64000</v>
      </c>
      <c r="F578" s="4">
        <v>51000</v>
      </c>
      <c r="G578" s="1" t="s">
        <v>1367</v>
      </c>
      <c r="H578" t="s">
        <v>1439</v>
      </c>
      <c r="I578" s="1" t="s">
        <v>1189</v>
      </c>
      <c r="J578" s="1" t="s">
        <v>780</v>
      </c>
      <c r="K578" s="1" t="s">
        <v>290</v>
      </c>
      <c r="L578" s="1" t="s">
        <v>43</v>
      </c>
      <c r="M578" s="1" t="s">
        <v>121</v>
      </c>
      <c r="N578" s="1" t="s">
        <v>574</v>
      </c>
      <c r="O578" s="1" t="s">
        <v>67</v>
      </c>
      <c r="P578">
        <v>25</v>
      </c>
      <c r="Q578" s="1">
        <v>0</v>
      </c>
      <c r="R578" s="1">
        <v>0</v>
      </c>
      <c r="S578" s="1">
        <v>0</v>
      </c>
      <c r="T578" s="1">
        <v>1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 t="s">
        <v>71</v>
      </c>
      <c r="AH578" s="1" t="str">
        <f t="shared" ref="AH578:AH641" si="9">IF(VALUE(AJ578) &gt;= 114, "Sr", "Jr")</f>
        <v>Jr</v>
      </c>
      <c r="AI578" t="s">
        <v>34</v>
      </c>
      <c r="AJ578" s="4">
        <v>51</v>
      </c>
      <c r="AK578" s="1">
        <f>Table1[[#This Row],[avg_salary]]*1000</f>
        <v>51000</v>
      </c>
    </row>
    <row r="579" spans="1:37" x14ac:dyDescent="0.3">
      <c r="A579" s="1">
        <v>736</v>
      </c>
      <c r="B579" s="1" t="s">
        <v>577</v>
      </c>
      <c r="C579" s="1" t="s">
        <v>1413</v>
      </c>
      <c r="D579" s="4">
        <v>90000</v>
      </c>
      <c r="E579" s="4">
        <v>110000</v>
      </c>
      <c r="F579" s="4">
        <v>100000</v>
      </c>
      <c r="G579" s="1" t="s">
        <v>1368</v>
      </c>
      <c r="H579" t="s">
        <v>1459</v>
      </c>
      <c r="I579" s="1" t="s">
        <v>1275</v>
      </c>
      <c r="J579" s="1" t="s">
        <v>781</v>
      </c>
      <c r="K579" s="1" t="s">
        <v>37</v>
      </c>
      <c r="L579" s="1" t="s">
        <v>38</v>
      </c>
      <c r="M579" s="1" t="s">
        <v>54</v>
      </c>
      <c r="N579" s="1" t="s">
        <v>578</v>
      </c>
      <c r="O579" s="1" t="s">
        <v>266</v>
      </c>
      <c r="P579">
        <v>34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 t="s">
        <v>98</v>
      </c>
      <c r="AH579" s="1" t="str">
        <f t="shared" si="9"/>
        <v>Jr</v>
      </c>
      <c r="AI579" t="s">
        <v>72</v>
      </c>
      <c r="AJ579" s="4">
        <v>100</v>
      </c>
      <c r="AK579" s="1">
        <f>Table1[[#This Row],[avg_salary]]*1000</f>
        <v>100000</v>
      </c>
    </row>
    <row r="580" spans="1:37" x14ac:dyDescent="0.3">
      <c r="A580" s="1">
        <v>737</v>
      </c>
      <c r="B580" s="1" t="s">
        <v>721</v>
      </c>
      <c r="C580" s="1" t="s">
        <v>994</v>
      </c>
      <c r="D580" s="4">
        <v>92000</v>
      </c>
      <c r="E580" s="4">
        <v>150000</v>
      </c>
      <c r="F580" s="4">
        <v>121000</v>
      </c>
      <c r="G580" s="1" t="s">
        <v>1195</v>
      </c>
      <c r="H580" t="s">
        <v>1441</v>
      </c>
      <c r="I580" s="1" t="s">
        <v>1196</v>
      </c>
      <c r="J580" s="1" t="s">
        <v>781</v>
      </c>
      <c r="K580" s="1" t="s">
        <v>89</v>
      </c>
      <c r="L580" s="1" t="s">
        <v>89</v>
      </c>
      <c r="M580" s="1" t="s">
        <v>84</v>
      </c>
      <c r="N580" s="1" t="s">
        <v>137</v>
      </c>
      <c r="O580" s="1" t="s">
        <v>91</v>
      </c>
      <c r="P580">
        <v>27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 t="s">
        <v>33</v>
      </c>
      <c r="AH580" s="1" t="str">
        <f t="shared" si="9"/>
        <v>Sr</v>
      </c>
      <c r="AI580" t="s">
        <v>34</v>
      </c>
      <c r="AJ580" s="4">
        <v>121</v>
      </c>
      <c r="AK580" s="1">
        <f>Table1[[#This Row],[avg_salary]]*1000</f>
        <v>121000</v>
      </c>
    </row>
    <row r="581" spans="1:37" x14ac:dyDescent="0.3">
      <c r="A581" s="1">
        <v>738</v>
      </c>
      <c r="B581" s="1" t="s">
        <v>722</v>
      </c>
      <c r="C581" s="1" t="s">
        <v>1138</v>
      </c>
      <c r="D581" s="4">
        <v>90000</v>
      </c>
      <c r="E581" s="4">
        <v>153000</v>
      </c>
      <c r="F581" s="4">
        <v>121500</v>
      </c>
      <c r="G581" s="1" t="s">
        <v>1200</v>
      </c>
      <c r="H581" t="s">
        <v>1439</v>
      </c>
      <c r="I581" s="1" t="s">
        <v>1189</v>
      </c>
      <c r="J581" s="1" t="s">
        <v>780</v>
      </c>
      <c r="K581" s="1" t="s">
        <v>145</v>
      </c>
      <c r="L581" s="1" t="s">
        <v>74</v>
      </c>
      <c r="M581" s="1" t="s">
        <v>44</v>
      </c>
      <c r="N581" s="1" t="s">
        <v>269</v>
      </c>
      <c r="O581" s="1" t="s">
        <v>67</v>
      </c>
      <c r="P581">
        <v>22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1</v>
      </c>
      <c r="AC581" s="1">
        <v>1</v>
      </c>
      <c r="AD581" s="1">
        <v>0</v>
      </c>
      <c r="AE581" s="1">
        <v>0</v>
      </c>
      <c r="AF581" s="1">
        <v>0</v>
      </c>
      <c r="AG581" s="1" t="s">
        <v>88</v>
      </c>
      <c r="AH581" s="1" t="str">
        <f t="shared" si="9"/>
        <v>Sr</v>
      </c>
      <c r="AI581" t="s">
        <v>34</v>
      </c>
      <c r="AJ581" s="4">
        <v>121.5</v>
      </c>
      <c r="AK581" s="1">
        <f>Table1[[#This Row],[avg_salary]]*1000</f>
        <v>121500</v>
      </c>
    </row>
    <row r="582" spans="1:37" x14ac:dyDescent="0.3">
      <c r="A582" s="1">
        <v>740</v>
      </c>
      <c r="B582" s="1" t="s">
        <v>575</v>
      </c>
      <c r="C582" s="1" t="s">
        <v>1047</v>
      </c>
      <c r="D582" s="4">
        <v>43000</v>
      </c>
      <c r="E582" s="4">
        <v>82000</v>
      </c>
      <c r="F582" s="4">
        <v>62500</v>
      </c>
      <c r="G582" s="1" t="s">
        <v>1231</v>
      </c>
      <c r="H582" t="s">
        <v>1441</v>
      </c>
      <c r="I582" s="1" t="s">
        <v>1196</v>
      </c>
      <c r="J582" s="1" t="s">
        <v>780</v>
      </c>
      <c r="K582" s="1" t="s">
        <v>61</v>
      </c>
      <c r="L582" s="1" t="s">
        <v>62</v>
      </c>
      <c r="M582" s="1" t="s">
        <v>84</v>
      </c>
      <c r="N582" s="1" t="s">
        <v>576</v>
      </c>
      <c r="O582" s="1" t="s">
        <v>91</v>
      </c>
      <c r="P582">
        <v>58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 t="s">
        <v>33</v>
      </c>
      <c r="AH582" s="1" t="str">
        <f t="shared" si="9"/>
        <v>Jr</v>
      </c>
      <c r="AI582" t="s">
        <v>34</v>
      </c>
      <c r="AJ582" s="4">
        <v>62.5</v>
      </c>
      <c r="AK582" s="1">
        <f>Table1[[#This Row],[avg_salary]]*1000</f>
        <v>62500</v>
      </c>
    </row>
    <row r="583" spans="1:37" x14ac:dyDescent="0.3">
      <c r="A583" s="1">
        <v>741</v>
      </c>
      <c r="B583" s="1" t="s">
        <v>723</v>
      </c>
      <c r="C583" s="1" t="s">
        <v>1422</v>
      </c>
      <c r="D583" s="4">
        <v>100000</v>
      </c>
      <c r="E583" s="4">
        <v>135000</v>
      </c>
      <c r="F583" s="4">
        <v>117500</v>
      </c>
      <c r="G583" s="1" t="s">
        <v>1195</v>
      </c>
      <c r="H583" t="s">
        <v>1441</v>
      </c>
      <c r="I583" s="1" t="s">
        <v>1196</v>
      </c>
      <c r="J583" s="1" t="s">
        <v>36</v>
      </c>
      <c r="K583" s="1" t="s">
        <v>89</v>
      </c>
      <c r="L583" s="1" t="s">
        <v>74</v>
      </c>
      <c r="M583" s="1" t="s">
        <v>54</v>
      </c>
      <c r="N583" s="1" t="s">
        <v>724</v>
      </c>
      <c r="O583" s="1" t="s">
        <v>91</v>
      </c>
      <c r="P583">
        <v>59</v>
      </c>
      <c r="Q583" s="1">
        <v>0</v>
      </c>
      <c r="R583" s="1">
        <v>0</v>
      </c>
      <c r="S583" s="1">
        <v>0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 t="s">
        <v>71</v>
      </c>
      <c r="AH583" s="1" t="str">
        <f t="shared" si="9"/>
        <v>Sr</v>
      </c>
      <c r="AI583" t="s">
        <v>72</v>
      </c>
      <c r="AJ583" s="4">
        <v>117.5</v>
      </c>
      <c r="AK583" s="1">
        <f>Table1[[#This Row],[avg_salary]]*1000</f>
        <v>117500</v>
      </c>
    </row>
    <row r="584" spans="1:37" x14ac:dyDescent="0.3">
      <c r="A584" s="1">
        <v>742</v>
      </c>
      <c r="B584" s="1" t="s">
        <v>580</v>
      </c>
      <c r="C584" s="1" t="s">
        <v>1048</v>
      </c>
      <c r="D584" s="4">
        <v>93000</v>
      </c>
      <c r="E584" s="4">
        <v>151000</v>
      </c>
      <c r="F584" s="4">
        <v>122000</v>
      </c>
      <c r="G584" s="1" t="s">
        <v>1369</v>
      </c>
      <c r="H584" t="s">
        <v>1437</v>
      </c>
      <c r="I584" s="1" t="s">
        <v>1180</v>
      </c>
      <c r="J584" s="1" t="s">
        <v>780</v>
      </c>
      <c r="K584" s="1" t="s">
        <v>145</v>
      </c>
      <c r="L584" s="1" t="s">
        <v>74</v>
      </c>
      <c r="M584" s="1" t="s">
        <v>54</v>
      </c>
      <c r="N584" s="1" t="s">
        <v>581</v>
      </c>
      <c r="O584" s="1" t="s">
        <v>46</v>
      </c>
      <c r="P584">
        <v>21</v>
      </c>
      <c r="Q584" s="1">
        <v>1</v>
      </c>
      <c r="R584" s="1">
        <v>0</v>
      </c>
      <c r="S584" s="1">
        <v>1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 t="s">
        <v>33</v>
      </c>
      <c r="AH584" s="1" t="str">
        <f t="shared" si="9"/>
        <v>Sr</v>
      </c>
      <c r="AI584" t="s">
        <v>34</v>
      </c>
      <c r="AJ584" s="4">
        <v>122</v>
      </c>
      <c r="AK584" s="1">
        <f>Table1[[#This Row],[avg_salary]]*1000</f>
        <v>122000</v>
      </c>
    </row>
    <row r="585" spans="1:37" x14ac:dyDescent="0.3">
      <c r="A585" s="1">
        <v>743</v>
      </c>
      <c r="B585" s="1" t="s">
        <v>150</v>
      </c>
      <c r="C585" s="1" t="s">
        <v>835</v>
      </c>
      <c r="D585" s="4">
        <v>61000</v>
      </c>
      <c r="E585" s="4">
        <v>109000</v>
      </c>
      <c r="F585" s="4">
        <v>85000</v>
      </c>
      <c r="G585" s="1" t="s">
        <v>1191</v>
      </c>
      <c r="H585" t="s">
        <v>1440</v>
      </c>
      <c r="I585" s="1" t="s">
        <v>1192</v>
      </c>
      <c r="J585" s="1" t="s">
        <v>780</v>
      </c>
      <c r="K585" s="1" t="s">
        <v>143</v>
      </c>
      <c r="L585" s="1" t="s">
        <v>74</v>
      </c>
      <c r="M585" s="1" t="s">
        <v>54</v>
      </c>
      <c r="N585" s="1" t="s">
        <v>579</v>
      </c>
      <c r="O585" s="1" t="s">
        <v>81</v>
      </c>
      <c r="P585">
        <v>54</v>
      </c>
      <c r="Q585" s="1">
        <v>1</v>
      </c>
      <c r="R585" s="1">
        <v>1</v>
      </c>
      <c r="S585" s="1">
        <v>1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 t="s">
        <v>98</v>
      </c>
      <c r="AH585" s="1" t="str">
        <f t="shared" si="9"/>
        <v>Jr</v>
      </c>
      <c r="AI585" t="s">
        <v>34</v>
      </c>
      <c r="AJ585" s="4">
        <v>85</v>
      </c>
      <c r="AK585" s="1">
        <f>Table1[[#This Row],[avg_salary]]*1000</f>
        <v>85000</v>
      </c>
    </row>
    <row r="586" spans="1:37" x14ac:dyDescent="0.3">
      <c r="A586" s="1">
        <v>744</v>
      </c>
      <c r="B586" s="1" t="s">
        <v>150</v>
      </c>
      <c r="C586" s="1" t="s">
        <v>1139</v>
      </c>
      <c r="D586" s="4">
        <v>42000</v>
      </c>
      <c r="E586" s="4">
        <v>79000</v>
      </c>
      <c r="F586" s="4">
        <v>60500</v>
      </c>
      <c r="G586" s="1" t="s">
        <v>1397</v>
      </c>
      <c r="H586" t="s">
        <v>1459</v>
      </c>
      <c r="I586" s="1" t="s">
        <v>1275</v>
      </c>
      <c r="J586" s="1" t="s">
        <v>780</v>
      </c>
      <c r="K586" s="1" t="s">
        <v>143</v>
      </c>
      <c r="L586" s="1" t="s">
        <v>74</v>
      </c>
      <c r="M586" s="1" t="s">
        <v>30</v>
      </c>
      <c r="N586" s="1" t="s">
        <v>725</v>
      </c>
      <c r="O586" s="1" t="s">
        <v>266</v>
      </c>
      <c r="P586">
        <v>40</v>
      </c>
      <c r="Q586" s="1">
        <v>1</v>
      </c>
      <c r="R586" s="1">
        <v>1</v>
      </c>
      <c r="S586" s="1">
        <v>1</v>
      </c>
      <c r="T586" s="1">
        <v>0</v>
      </c>
      <c r="U586" s="1">
        <v>1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1</v>
      </c>
      <c r="AF586" s="1">
        <v>0</v>
      </c>
      <c r="AG586" s="1" t="s">
        <v>98</v>
      </c>
      <c r="AH586" s="1" t="str">
        <f t="shared" si="9"/>
        <v>Jr</v>
      </c>
      <c r="AI586" t="s">
        <v>34</v>
      </c>
      <c r="AJ586" s="4">
        <v>60.5</v>
      </c>
      <c r="AK586" s="1">
        <f>Table1[[#This Row],[avg_salary]]*1000</f>
        <v>60500</v>
      </c>
    </row>
    <row r="587" spans="1:37" x14ac:dyDescent="0.3">
      <c r="A587" s="1">
        <v>745</v>
      </c>
      <c r="B587" s="1" t="s">
        <v>163</v>
      </c>
      <c r="C587" s="1" t="s">
        <v>1043</v>
      </c>
      <c r="D587" s="4">
        <v>139000</v>
      </c>
      <c r="E587" s="4">
        <v>221000</v>
      </c>
      <c r="F587" s="4">
        <v>180000</v>
      </c>
      <c r="G587" s="1" t="s">
        <v>1310</v>
      </c>
      <c r="H587" t="s">
        <v>1439</v>
      </c>
      <c r="I587" s="1" t="s">
        <v>1189</v>
      </c>
      <c r="J587" s="1" t="s">
        <v>780</v>
      </c>
      <c r="K587" s="1" t="s">
        <v>238</v>
      </c>
      <c r="L587" s="1" t="s">
        <v>62</v>
      </c>
      <c r="M587" s="1" t="s">
        <v>30</v>
      </c>
      <c r="N587" s="1" t="s">
        <v>380</v>
      </c>
      <c r="O587" s="1" t="s">
        <v>67</v>
      </c>
      <c r="P587">
        <v>52</v>
      </c>
      <c r="Q587" s="1">
        <v>1</v>
      </c>
      <c r="R587" s="1">
        <v>0</v>
      </c>
      <c r="S587" s="1">
        <v>0</v>
      </c>
      <c r="T587" s="1">
        <v>1</v>
      </c>
      <c r="U587" s="1">
        <v>1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 t="s">
        <v>33</v>
      </c>
      <c r="AH587" s="1" t="str">
        <f t="shared" si="9"/>
        <v>Sr</v>
      </c>
      <c r="AI587" t="s">
        <v>34</v>
      </c>
      <c r="AJ587" s="4">
        <v>180</v>
      </c>
      <c r="AK587" s="1">
        <f>Table1[[#This Row],[avg_salary]]*1000</f>
        <v>180000</v>
      </c>
    </row>
    <row r="588" spans="1:37" x14ac:dyDescent="0.3">
      <c r="A588" s="1">
        <v>746</v>
      </c>
      <c r="B588" s="1" t="s">
        <v>584</v>
      </c>
      <c r="C588" s="1" t="s">
        <v>1049</v>
      </c>
      <c r="D588" s="4">
        <v>40000</v>
      </c>
      <c r="E588" s="4">
        <v>101000</v>
      </c>
      <c r="F588" s="4">
        <v>70500</v>
      </c>
      <c r="G588" s="1" t="s">
        <v>1344</v>
      </c>
      <c r="H588" t="s">
        <v>1452</v>
      </c>
      <c r="I588" s="1" t="s">
        <v>1237</v>
      </c>
      <c r="J588" s="1" t="s">
        <v>780</v>
      </c>
      <c r="K588" s="1" t="s">
        <v>378</v>
      </c>
      <c r="L588" s="1" t="s">
        <v>62</v>
      </c>
      <c r="M588" s="1" t="s">
        <v>54</v>
      </c>
      <c r="N588" s="1" t="s">
        <v>585</v>
      </c>
      <c r="O588" s="1" t="s">
        <v>182</v>
      </c>
      <c r="P588">
        <v>60</v>
      </c>
      <c r="Q588" s="1">
        <v>0</v>
      </c>
      <c r="R588" s="1">
        <v>1</v>
      </c>
      <c r="S588" s="1">
        <v>0</v>
      </c>
      <c r="T588" s="1">
        <v>1</v>
      </c>
      <c r="U588" s="1">
        <v>1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1</v>
      </c>
      <c r="AB588" s="1">
        <v>1</v>
      </c>
      <c r="AC588" s="1">
        <v>0</v>
      </c>
      <c r="AD588" s="1">
        <v>0</v>
      </c>
      <c r="AE588" s="1">
        <v>1</v>
      </c>
      <c r="AF588" s="1">
        <v>0</v>
      </c>
      <c r="AG588" t="s">
        <v>1473</v>
      </c>
      <c r="AH588" s="1" t="str">
        <f t="shared" si="9"/>
        <v>Jr</v>
      </c>
      <c r="AI588" t="s">
        <v>34</v>
      </c>
      <c r="AJ588" s="4">
        <v>70.5</v>
      </c>
      <c r="AK588" s="1">
        <f>Table1[[#This Row],[avg_salary]]*1000</f>
        <v>70500</v>
      </c>
    </row>
    <row r="589" spans="1:37" x14ac:dyDescent="0.3">
      <c r="A589" s="1">
        <v>747</v>
      </c>
      <c r="B589" s="1" t="s">
        <v>498</v>
      </c>
      <c r="C589" s="1" t="s">
        <v>1140</v>
      </c>
      <c r="D589" s="4">
        <v>84000</v>
      </c>
      <c r="E589" s="4">
        <v>153000</v>
      </c>
      <c r="F589" s="4">
        <v>118500</v>
      </c>
      <c r="G589" s="1" t="s">
        <v>1191</v>
      </c>
      <c r="H589" t="s">
        <v>1440</v>
      </c>
      <c r="I589" s="1" t="s">
        <v>1192</v>
      </c>
      <c r="J589" s="1" t="s">
        <v>780</v>
      </c>
      <c r="K589" s="1" t="s">
        <v>29</v>
      </c>
      <c r="L589" s="1" t="s">
        <v>29</v>
      </c>
      <c r="M589" s="1" t="s">
        <v>58</v>
      </c>
      <c r="N589" s="1" t="s">
        <v>220</v>
      </c>
      <c r="O589" s="1" t="s">
        <v>81</v>
      </c>
      <c r="P589">
        <v>21</v>
      </c>
      <c r="Q589" s="1">
        <v>1</v>
      </c>
      <c r="R589" s="1">
        <v>1</v>
      </c>
      <c r="S589" s="1">
        <v>0</v>
      </c>
      <c r="T589" s="1">
        <v>0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 t="s">
        <v>98</v>
      </c>
      <c r="AH589" s="1" t="str">
        <f t="shared" si="9"/>
        <v>Sr</v>
      </c>
      <c r="AI589" t="s">
        <v>34</v>
      </c>
      <c r="AJ589" s="4">
        <v>118.5</v>
      </c>
      <c r="AK589" s="1">
        <f>Table1[[#This Row],[avg_salary]]*1000</f>
        <v>118500</v>
      </c>
    </row>
    <row r="590" spans="1:37" x14ac:dyDescent="0.3">
      <c r="A590" s="1">
        <v>748</v>
      </c>
      <c r="B590" s="1" t="s">
        <v>582</v>
      </c>
      <c r="C590" s="1" t="s">
        <v>841</v>
      </c>
      <c r="D590" s="4">
        <v>52000</v>
      </c>
      <c r="E590" s="4">
        <v>81000</v>
      </c>
      <c r="F590" s="4">
        <v>66500</v>
      </c>
      <c r="G590" s="1" t="s">
        <v>1203</v>
      </c>
      <c r="H590" t="s">
        <v>1444</v>
      </c>
      <c r="I590" s="1" t="s">
        <v>1204</v>
      </c>
      <c r="J590" s="1" t="s">
        <v>780</v>
      </c>
      <c r="K590" s="1" t="s">
        <v>103</v>
      </c>
      <c r="L590" s="1" t="s">
        <v>74</v>
      </c>
      <c r="M590" s="1" t="s">
        <v>44</v>
      </c>
      <c r="N590" s="1" t="s">
        <v>583</v>
      </c>
      <c r="O590" s="1" t="s">
        <v>120</v>
      </c>
      <c r="P590">
        <v>52</v>
      </c>
      <c r="Q590" s="1">
        <v>1</v>
      </c>
      <c r="R590" s="1">
        <v>0</v>
      </c>
      <c r="S590" s="1">
        <v>0</v>
      </c>
      <c r="T590" s="1">
        <v>0</v>
      </c>
      <c r="U590" s="1">
        <v>1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1</v>
      </c>
      <c r="AD590" s="1">
        <v>0</v>
      </c>
      <c r="AE590" s="1">
        <v>0</v>
      </c>
      <c r="AF590" s="1">
        <v>0</v>
      </c>
      <c r="AG590" s="1" t="s">
        <v>208</v>
      </c>
      <c r="AH590" s="1" t="str">
        <f t="shared" si="9"/>
        <v>Jr</v>
      </c>
      <c r="AI590" t="s">
        <v>34</v>
      </c>
      <c r="AJ590" s="4">
        <v>66.5</v>
      </c>
      <c r="AK590" s="1">
        <f>Table1[[#This Row],[avg_salary]]*1000</f>
        <v>66500</v>
      </c>
    </row>
    <row r="591" spans="1:37" x14ac:dyDescent="0.3">
      <c r="A591" s="1">
        <v>749</v>
      </c>
      <c r="B591" s="1" t="s">
        <v>587</v>
      </c>
      <c r="C591" s="1" t="s">
        <v>1051</v>
      </c>
      <c r="D591" s="4">
        <v>81000</v>
      </c>
      <c r="E591" s="4">
        <v>134000</v>
      </c>
      <c r="F591" s="4">
        <v>107500</v>
      </c>
      <c r="G591" s="1" t="s">
        <v>1231</v>
      </c>
      <c r="H591" t="s">
        <v>1441</v>
      </c>
      <c r="I591" s="1" t="s">
        <v>1196</v>
      </c>
      <c r="J591" s="1" t="s">
        <v>780</v>
      </c>
      <c r="K591" s="1" t="s">
        <v>64</v>
      </c>
      <c r="L591" s="1" t="s">
        <v>43</v>
      </c>
      <c r="M591" s="1" t="s">
        <v>44</v>
      </c>
      <c r="N591" s="1" t="s">
        <v>308</v>
      </c>
      <c r="O591" s="1" t="s">
        <v>91</v>
      </c>
      <c r="P591">
        <v>38</v>
      </c>
      <c r="Q591" s="1">
        <v>0</v>
      </c>
      <c r="R591" s="1">
        <v>1</v>
      </c>
      <c r="S591" s="1">
        <v>0</v>
      </c>
      <c r="T591" s="1">
        <v>1</v>
      </c>
      <c r="U591" s="1">
        <v>1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  <c r="AB591" s="1">
        <v>1</v>
      </c>
      <c r="AC591" s="1">
        <v>0</v>
      </c>
      <c r="AD591" s="1">
        <v>0</v>
      </c>
      <c r="AE591" s="1">
        <v>1</v>
      </c>
      <c r="AF591" s="1">
        <v>0</v>
      </c>
      <c r="AG591" s="1" t="s">
        <v>33</v>
      </c>
      <c r="AH591" s="1" t="str">
        <f t="shared" si="9"/>
        <v>Jr</v>
      </c>
      <c r="AI591" t="s">
        <v>72</v>
      </c>
      <c r="AJ591" s="4">
        <v>107.5</v>
      </c>
      <c r="AK591" s="1">
        <f>Table1[[#This Row],[avg_salary]]*1000</f>
        <v>107500</v>
      </c>
    </row>
    <row r="592" spans="1:37" x14ac:dyDescent="0.3">
      <c r="A592" s="1">
        <v>750</v>
      </c>
      <c r="B592" s="1" t="s">
        <v>282</v>
      </c>
      <c r="C592" s="1" t="s">
        <v>1050</v>
      </c>
      <c r="D592" s="4">
        <v>97000</v>
      </c>
      <c r="E592" s="4">
        <v>180000</v>
      </c>
      <c r="F592" s="4">
        <v>138500</v>
      </c>
      <c r="G592" s="1" t="s">
        <v>1331</v>
      </c>
      <c r="H592" t="s">
        <v>1438</v>
      </c>
      <c r="I592" s="1" t="s">
        <v>1186</v>
      </c>
      <c r="J592" s="1" t="s">
        <v>780</v>
      </c>
      <c r="K592" s="1" t="s">
        <v>42</v>
      </c>
      <c r="L592" s="1" t="s">
        <v>43</v>
      </c>
      <c r="M592" s="1" t="s">
        <v>121</v>
      </c>
      <c r="N592" s="1" t="s">
        <v>586</v>
      </c>
      <c r="O592" s="1" t="s">
        <v>60</v>
      </c>
      <c r="P592">
        <v>22</v>
      </c>
      <c r="Q592" s="1">
        <v>1</v>
      </c>
      <c r="R592" s="1">
        <v>1</v>
      </c>
      <c r="S592" s="1">
        <v>0</v>
      </c>
      <c r="T592" s="1">
        <v>0</v>
      </c>
      <c r="U592" s="1">
        <v>1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 t="s">
        <v>98</v>
      </c>
      <c r="AH592" s="1" t="str">
        <f t="shared" si="9"/>
        <v>Sr</v>
      </c>
      <c r="AI592" t="s">
        <v>34</v>
      </c>
      <c r="AJ592" s="4">
        <v>138.5</v>
      </c>
      <c r="AK592" s="1">
        <f>Table1[[#This Row],[avg_salary]]*1000</f>
        <v>138500</v>
      </c>
    </row>
    <row r="593" spans="1:37" x14ac:dyDescent="0.3">
      <c r="A593" s="1">
        <v>751</v>
      </c>
      <c r="B593" s="1" t="s">
        <v>590</v>
      </c>
      <c r="C593" s="1" t="s">
        <v>947</v>
      </c>
      <c r="D593" s="4">
        <v>49000</v>
      </c>
      <c r="E593" s="4">
        <v>113000</v>
      </c>
      <c r="F593" s="4">
        <v>81000</v>
      </c>
      <c r="G593" s="1" t="s">
        <v>1279</v>
      </c>
      <c r="H593" t="s">
        <v>1436</v>
      </c>
      <c r="I593" s="1" t="s">
        <v>1178</v>
      </c>
      <c r="J593" s="1" t="s">
        <v>780</v>
      </c>
      <c r="K593" s="1" t="s">
        <v>89</v>
      </c>
      <c r="L593" s="1" t="s">
        <v>89</v>
      </c>
      <c r="M593" s="1" t="s">
        <v>65</v>
      </c>
      <c r="N593" s="1" t="s">
        <v>419</v>
      </c>
      <c r="O593" s="1" t="s">
        <v>41</v>
      </c>
      <c r="P593">
        <v>26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 t="s">
        <v>71</v>
      </c>
      <c r="AH593" s="1" t="str">
        <f t="shared" si="9"/>
        <v>Jr</v>
      </c>
      <c r="AI593" t="s">
        <v>34</v>
      </c>
      <c r="AJ593" s="4">
        <v>81</v>
      </c>
      <c r="AK593" s="1">
        <f>Table1[[#This Row],[avg_salary]]*1000</f>
        <v>81000</v>
      </c>
    </row>
    <row r="594" spans="1:37" x14ac:dyDescent="0.3">
      <c r="A594" s="1">
        <v>752</v>
      </c>
      <c r="B594" s="1" t="s">
        <v>726</v>
      </c>
      <c r="C594" s="1" t="s">
        <v>1141</v>
      </c>
      <c r="D594" s="4">
        <v>44000</v>
      </c>
      <c r="E594" s="4">
        <v>73000</v>
      </c>
      <c r="F594" s="4">
        <v>58500</v>
      </c>
      <c r="G594" s="1" t="s">
        <v>1398</v>
      </c>
      <c r="H594" t="s">
        <v>1444</v>
      </c>
      <c r="I594" s="1" t="s">
        <v>1204</v>
      </c>
      <c r="J594" s="1" t="s">
        <v>780</v>
      </c>
      <c r="K594" s="1" t="s">
        <v>108</v>
      </c>
      <c r="L594" s="1" t="s">
        <v>109</v>
      </c>
      <c r="M594" s="1" t="s">
        <v>39</v>
      </c>
      <c r="N594" s="1" t="s">
        <v>727</v>
      </c>
      <c r="O594" s="1" t="s">
        <v>120</v>
      </c>
      <c r="P594">
        <v>35</v>
      </c>
      <c r="Q594" s="1">
        <v>1</v>
      </c>
      <c r="R594" s="1">
        <v>1</v>
      </c>
      <c r="S594" s="1">
        <v>0</v>
      </c>
      <c r="T594" s="1">
        <v>1</v>
      </c>
      <c r="U594" s="1">
        <v>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 t="s">
        <v>98</v>
      </c>
      <c r="AH594" s="1" t="str">
        <f t="shared" si="9"/>
        <v>Jr</v>
      </c>
      <c r="AI594" t="s">
        <v>34</v>
      </c>
      <c r="AJ594" s="4">
        <v>58.5</v>
      </c>
      <c r="AK594" s="1">
        <f>Table1[[#This Row],[avg_salary]]*1000</f>
        <v>58500</v>
      </c>
    </row>
    <row r="595" spans="1:37" x14ac:dyDescent="0.3">
      <c r="A595" s="1">
        <v>753</v>
      </c>
      <c r="B595" s="1" t="s">
        <v>420</v>
      </c>
      <c r="C595" s="1" t="s">
        <v>948</v>
      </c>
      <c r="D595" s="4">
        <v>75000</v>
      </c>
      <c r="E595" s="4">
        <v>140000</v>
      </c>
      <c r="F595" s="4">
        <v>107500</v>
      </c>
      <c r="G595" s="1" t="s">
        <v>1203</v>
      </c>
      <c r="H595" t="s">
        <v>1444</v>
      </c>
      <c r="I595" s="1" t="s">
        <v>1204</v>
      </c>
      <c r="J595" s="1" t="s">
        <v>781</v>
      </c>
      <c r="K595" s="1" t="s">
        <v>421</v>
      </c>
      <c r="L595" s="1" t="s">
        <v>118</v>
      </c>
      <c r="M595" s="1" t="s">
        <v>39</v>
      </c>
      <c r="N595" s="1" t="s">
        <v>422</v>
      </c>
      <c r="O595" s="1" t="s">
        <v>120</v>
      </c>
      <c r="P595">
        <v>60</v>
      </c>
      <c r="Q595" s="1">
        <v>0</v>
      </c>
      <c r="R595" s="1">
        <v>0</v>
      </c>
      <c r="S595" s="1">
        <v>0</v>
      </c>
      <c r="T595" s="1">
        <v>0</v>
      </c>
      <c r="U595" s="1">
        <v>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 t="s">
        <v>98</v>
      </c>
      <c r="AH595" s="1" t="str">
        <f t="shared" si="9"/>
        <v>Jr</v>
      </c>
      <c r="AI595" t="s">
        <v>72</v>
      </c>
      <c r="AJ595" s="4">
        <v>107.5</v>
      </c>
      <c r="AK595" s="1">
        <f>Table1[[#This Row],[avg_salary]]*1000</f>
        <v>107500</v>
      </c>
    </row>
    <row r="596" spans="1:37" x14ac:dyDescent="0.3">
      <c r="A596" s="1">
        <v>754</v>
      </c>
      <c r="B596" s="1" t="s">
        <v>588</v>
      </c>
      <c r="C596" s="1" t="s">
        <v>1052</v>
      </c>
      <c r="D596" s="4">
        <v>84000</v>
      </c>
      <c r="E596" s="4">
        <v>157000</v>
      </c>
      <c r="F596" s="4">
        <v>120500</v>
      </c>
      <c r="G596" s="1" t="s">
        <v>1195</v>
      </c>
      <c r="H596" t="s">
        <v>1441</v>
      </c>
      <c r="I596" s="1" t="s">
        <v>1196</v>
      </c>
      <c r="J596" s="1" t="s">
        <v>781</v>
      </c>
      <c r="K596" s="1" t="s">
        <v>89</v>
      </c>
      <c r="L596" s="1" t="s">
        <v>89</v>
      </c>
      <c r="M596" s="1" t="s">
        <v>30</v>
      </c>
      <c r="N596" s="1" t="s">
        <v>589</v>
      </c>
      <c r="O596" s="1" t="s">
        <v>91</v>
      </c>
      <c r="P596">
        <v>38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 t="s">
        <v>71</v>
      </c>
      <c r="AH596" s="1" t="str">
        <f t="shared" si="9"/>
        <v>Sr</v>
      </c>
      <c r="AI596" t="s">
        <v>34</v>
      </c>
      <c r="AJ596" s="4">
        <v>120.5</v>
      </c>
      <c r="AK596" s="1">
        <f>Table1[[#This Row],[avg_salary]]*1000</f>
        <v>120500</v>
      </c>
    </row>
    <row r="597" spans="1:37" x14ac:dyDescent="0.3">
      <c r="A597" s="1">
        <v>755</v>
      </c>
      <c r="B597" s="1" t="s">
        <v>728</v>
      </c>
      <c r="C597" s="1" t="s">
        <v>1142</v>
      </c>
      <c r="D597" s="4">
        <v>40000</v>
      </c>
      <c r="E597" s="4">
        <v>87000</v>
      </c>
      <c r="F597" s="4">
        <v>63500</v>
      </c>
      <c r="G597" s="1" t="s">
        <v>1200</v>
      </c>
      <c r="H597" t="s">
        <v>1439</v>
      </c>
      <c r="I597" s="1" t="s">
        <v>1189</v>
      </c>
      <c r="J597" s="1" t="s">
        <v>780</v>
      </c>
      <c r="K597" s="1" t="s">
        <v>73</v>
      </c>
      <c r="L597" s="1" t="s">
        <v>74</v>
      </c>
      <c r="M597" s="1" t="s">
        <v>121</v>
      </c>
      <c r="N597" s="1" t="s">
        <v>396</v>
      </c>
      <c r="O597" s="1" t="s">
        <v>67</v>
      </c>
      <c r="P597">
        <v>52</v>
      </c>
      <c r="Q597" s="1">
        <v>1</v>
      </c>
      <c r="R597" s="1">
        <v>1</v>
      </c>
      <c r="S597" s="1">
        <v>0</v>
      </c>
      <c r="T597" s="1">
        <v>0</v>
      </c>
      <c r="U597" s="1">
        <v>1</v>
      </c>
      <c r="V597" s="1">
        <v>0</v>
      </c>
      <c r="W597" s="1">
        <v>0</v>
      </c>
      <c r="X597" s="1">
        <v>0</v>
      </c>
      <c r="Y597" s="1">
        <v>1</v>
      </c>
      <c r="Z597" s="1">
        <v>1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 t="s">
        <v>33</v>
      </c>
      <c r="AH597" s="1" t="str">
        <f t="shared" si="9"/>
        <v>Jr</v>
      </c>
      <c r="AI597" t="s">
        <v>34</v>
      </c>
      <c r="AJ597" s="4">
        <v>63.5</v>
      </c>
      <c r="AK597" s="1">
        <f>Table1[[#This Row],[avg_salary]]*1000</f>
        <v>63500</v>
      </c>
    </row>
    <row r="598" spans="1:37" x14ac:dyDescent="0.3">
      <c r="A598" s="1">
        <v>756</v>
      </c>
      <c r="B598" s="1" t="s">
        <v>591</v>
      </c>
      <c r="C598" s="1" t="s">
        <v>1013</v>
      </c>
      <c r="D598" s="4">
        <v>68000</v>
      </c>
      <c r="E598" s="4">
        <v>139000</v>
      </c>
      <c r="F598" s="4">
        <v>103500</v>
      </c>
      <c r="G598" s="1" t="s">
        <v>1351</v>
      </c>
      <c r="H598" t="s">
        <v>1445</v>
      </c>
      <c r="I598" s="1" t="s">
        <v>1206</v>
      </c>
      <c r="J598" s="1" t="s">
        <v>780</v>
      </c>
      <c r="K598" s="1" t="s">
        <v>157</v>
      </c>
      <c r="L598" s="1" t="s">
        <v>158</v>
      </c>
      <c r="M598" s="1" t="s">
        <v>84</v>
      </c>
      <c r="N598" s="1" t="s">
        <v>519</v>
      </c>
      <c r="O598" s="1" t="s">
        <v>123</v>
      </c>
      <c r="P598">
        <v>48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 t="s">
        <v>71</v>
      </c>
      <c r="AH598" s="1" t="str">
        <f t="shared" si="9"/>
        <v>Jr</v>
      </c>
      <c r="AI598" t="s">
        <v>72</v>
      </c>
      <c r="AJ598" s="4">
        <v>103.5</v>
      </c>
      <c r="AK598" s="1">
        <f>Table1[[#This Row],[avg_salary]]*1000</f>
        <v>103500</v>
      </c>
    </row>
    <row r="599" spans="1:37" x14ac:dyDescent="0.3">
      <c r="A599" s="1">
        <v>757</v>
      </c>
      <c r="B599" s="1" t="s">
        <v>729</v>
      </c>
      <c r="C599" s="1" t="s">
        <v>1143</v>
      </c>
      <c r="D599" s="4">
        <v>72000</v>
      </c>
      <c r="E599" s="4">
        <v>142000</v>
      </c>
      <c r="F599" s="4">
        <v>107000</v>
      </c>
      <c r="G599" s="1" t="s">
        <v>1219</v>
      </c>
      <c r="H599" t="s">
        <v>1439</v>
      </c>
      <c r="I599" s="1" t="s">
        <v>1189</v>
      </c>
      <c r="J599" s="1" t="s">
        <v>781</v>
      </c>
      <c r="K599" s="1" t="s">
        <v>145</v>
      </c>
      <c r="L599" s="1" t="s">
        <v>74</v>
      </c>
      <c r="M599" s="1" t="s">
        <v>58</v>
      </c>
      <c r="N599" s="1" t="s">
        <v>730</v>
      </c>
      <c r="O599" s="1" t="s">
        <v>67</v>
      </c>
      <c r="P599">
        <v>48</v>
      </c>
      <c r="Q599" s="1">
        <v>1</v>
      </c>
      <c r="R599" s="1">
        <v>0</v>
      </c>
      <c r="S599" s="1">
        <v>0</v>
      </c>
      <c r="T599" s="1">
        <v>1</v>
      </c>
      <c r="U599" s="1">
        <v>0</v>
      </c>
      <c r="V599" s="1">
        <v>0</v>
      </c>
      <c r="W599" s="1">
        <v>1</v>
      </c>
      <c r="X599" s="1">
        <v>0</v>
      </c>
      <c r="Y599" s="1">
        <v>0</v>
      </c>
      <c r="Z599" s="1">
        <v>1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 t="s">
        <v>33</v>
      </c>
      <c r="AH599" s="1" t="str">
        <f t="shared" si="9"/>
        <v>Jr</v>
      </c>
      <c r="AI599" t="s">
        <v>72</v>
      </c>
      <c r="AJ599" s="4">
        <v>107</v>
      </c>
      <c r="AK599" s="1">
        <f>Table1[[#This Row],[avg_salary]]*1000</f>
        <v>107000</v>
      </c>
    </row>
    <row r="600" spans="1:37" x14ac:dyDescent="0.3">
      <c r="A600" s="1">
        <v>758</v>
      </c>
      <c r="B600" s="1" t="s">
        <v>150</v>
      </c>
      <c r="C600" s="1" t="s">
        <v>1144</v>
      </c>
      <c r="D600" s="4">
        <v>74000</v>
      </c>
      <c r="E600" s="4">
        <v>137000</v>
      </c>
      <c r="F600" s="4">
        <v>105500</v>
      </c>
      <c r="G600" s="1" t="s">
        <v>1309</v>
      </c>
      <c r="H600" t="s">
        <v>1440</v>
      </c>
      <c r="I600" s="1" t="s">
        <v>1192</v>
      </c>
      <c r="J600" s="1" t="s">
        <v>781</v>
      </c>
      <c r="K600" s="1" t="s">
        <v>29</v>
      </c>
      <c r="L600" s="1" t="s">
        <v>29</v>
      </c>
      <c r="M600" s="1" t="s">
        <v>39</v>
      </c>
      <c r="N600" s="1" t="s">
        <v>731</v>
      </c>
      <c r="O600" s="1" t="s">
        <v>81</v>
      </c>
      <c r="P600">
        <v>31</v>
      </c>
      <c r="Q600" s="1">
        <v>1</v>
      </c>
      <c r="R600" s="1">
        <v>1</v>
      </c>
      <c r="S600" s="1">
        <v>0</v>
      </c>
      <c r="T600" s="1">
        <v>0</v>
      </c>
      <c r="U600" s="1">
        <v>1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1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 t="s">
        <v>98</v>
      </c>
      <c r="AH600" s="1" t="str">
        <f t="shared" si="9"/>
        <v>Jr</v>
      </c>
      <c r="AI600" t="s">
        <v>72</v>
      </c>
      <c r="AJ600" s="4">
        <v>105.5</v>
      </c>
      <c r="AK600" s="1">
        <f>Table1[[#This Row],[avg_salary]]*1000</f>
        <v>105500</v>
      </c>
    </row>
    <row r="601" spans="1:37" x14ac:dyDescent="0.3">
      <c r="A601" s="1">
        <v>759</v>
      </c>
      <c r="B601" s="1" t="s">
        <v>150</v>
      </c>
      <c r="C601" s="1" t="s">
        <v>1145</v>
      </c>
      <c r="D601" s="4">
        <v>57000</v>
      </c>
      <c r="E601" s="4">
        <v>109000</v>
      </c>
      <c r="F601" s="4">
        <v>83000</v>
      </c>
      <c r="G601" s="1" t="s">
        <v>1235</v>
      </c>
      <c r="H601" t="s">
        <v>1439</v>
      </c>
      <c r="I601" s="1" t="s">
        <v>1189</v>
      </c>
      <c r="J601" s="1" t="s">
        <v>780</v>
      </c>
      <c r="K601" s="1" t="s">
        <v>108</v>
      </c>
      <c r="L601" s="1" t="s">
        <v>109</v>
      </c>
      <c r="M601" s="1" t="s">
        <v>50</v>
      </c>
      <c r="N601" s="1" t="s">
        <v>732</v>
      </c>
      <c r="O601" s="1" t="s">
        <v>67</v>
      </c>
      <c r="P601">
        <v>35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1</v>
      </c>
      <c r="AC601" s="1">
        <v>1</v>
      </c>
      <c r="AD601" s="1">
        <v>0</v>
      </c>
      <c r="AE601" s="1">
        <v>0</v>
      </c>
      <c r="AF601" s="1">
        <v>0</v>
      </c>
      <c r="AG601" s="1" t="s">
        <v>98</v>
      </c>
      <c r="AH601" s="1" t="str">
        <f t="shared" si="9"/>
        <v>Jr</v>
      </c>
      <c r="AI601" t="s">
        <v>34</v>
      </c>
      <c r="AJ601" s="4">
        <v>83</v>
      </c>
      <c r="AK601" s="1">
        <f>Table1[[#This Row],[avg_salary]]*1000</f>
        <v>83000</v>
      </c>
    </row>
    <row r="602" spans="1:37" x14ac:dyDescent="0.3">
      <c r="A602" s="1">
        <v>761</v>
      </c>
      <c r="B602" s="1" t="s">
        <v>592</v>
      </c>
      <c r="C602" s="1" t="s">
        <v>1053</v>
      </c>
      <c r="D602" s="4">
        <v>121000</v>
      </c>
      <c r="E602" s="4">
        <v>203000</v>
      </c>
      <c r="F602" s="4">
        <v>162000</v>
      </c>
      <c r="G602" s="1" t="s">
        <v>1200</v>
      </c>
      <c r="H602" t="s">
        <v>1439</v>
      </c>
      <c r="I602" s="1" t="s">
        <v>1189</v>
      </c>
      <c r="J602" s="1" t="s">
        <v>780</v>
      </c>
      <c r="K602" s="1" t="s">
        <v>73</v>
      </c>
      <c r="L602" s="1" t="s">
        <v>74</v>
      </c>
      <c r="M602" s="1" t="s">
        <v>54</v>
      </c>
      <c r="N602" s="1" t="s">
        <v>593</v>
      </c>
      <c r="O602" s="1" t="s">
        <v>67</v>
      </c>
      <c r="P602">
        <v>18</v>
      </c>
      <c r="Q602" s="1">
        <v>1</v>
      </c>
      <c r="R602" s="1">
        <v>1</v>
      </c>
      <c r="S602" s="1">
        <v>1</v>
      </c>
      <c r="T602" s="1">
        <v>1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1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 t="s">
        <v>98</v>
      </c>
      <c r="AH602" s="1" t="str">
        <f t="shared" si="9"/>
        <v>Sr</v>
      </c>
      <c r="AI602" t="s">
        <v>34</v>
      </c>
      <c r="AJ602" s="4">
        <v>162</v>
      </c>
      <c r="AK602" s="1">
        <f>Table1[[#This Row],[avg_salary]]*1000</f>
        <v>162000</v>
      </c>
    </row>
    <row r="603" spans="1:37" x14ac:dyDescent="0.3">
      <c r="A603" s="1">
        <v>763</v>
      </c>
      <c r="B603" s="1" t="s">
        <v>594</v>
      </c>
      <c r="C603" s="1" t="s">
        <v>1054</v>
      </c>
      <c r="D603" s="4">
        <v>52000</v>
      </c>
      <c r="E603" s="4">
        <v>85000</v>
      </c>
      <c r="F603" s="4">
        <v>68500</v>
      </c>
      <c r="G603" s="1" t="s">
        <v>1217</v>
      </c>
      <c r="H603" t="s">
        <v>1439</v>
      </c>
      <c r="I603" s="1" t="s">
        <v>1189</v>
      </c>
      <c r="J603" s="1" t="s">
        <v>780</v>
      </c>
      <c r="K603" s="1" t="s">
        <v>145</v>
      </c>
      <c r="L603" s="1" t="s">
        <v>74</v>
      </c>
      <c r="M603" s="1" t="s">
        <v>58</v>
      </c>
      <c r="N603" s="1" t="s">
        <v>146</v>
      </c>
      <c r="O603" s="1" t="s">
        <v>67</v>
      </c>
      <c r="P603">
        <v>25</v>
      </c>
      <c r="Q603" s="1">
        <v>1</v>
      </c>
      <c r="R603" s="1">
        <v>1</v>
      </c>
      <c r="S603" s="1">
        <v>0</v>
      </c>
      <c r="T603" s="1">
        <v>1</v>
      </c>
      <c r="U603" s="1">
        <v>0</v>
      </c>
      <c r="V603" s="1">
        <v>0</v>
      </c>
      <c r="W603" s="1">
        <v>0</v>
      </c>
      <c r="X603" s="1">
        <v>1</v>
      </c>
      <c r="Y603" s="1">
        <v>1</v>
      </c>
      <c r="Z603" s="1">
        <v>1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 t="s">
        <v>33</v>
      </c>
      <c r="AH603" s="1" t="str">
        <f t="shared" si="9"/>
        <v>Jr</v>
      </c>
      <c r="AI603" t="s">
        <v>34</v>
      </c>
      <c r="AJ603" s="4">
        <v>68.5</v>
      </c>
      <c r="AK603" s="1">
        <f>Table1[[#This Row],[avg_salary]]*1000</f>
        <v>68500</v>
      </c>
    </row>
    <row r="604" spans="1:37" x14ac:dyDescent="0.3">
      <c r="A604" s="1">
        <v>766</v>
      </c>
      <c r="B604" s="1" t="s">
        <v>595</v>
      </c>
      <c r="C604" s="1" t="s">
        <v>1055</v>
      </c>
      <c r="D604" s="4">
        <v>81000</v>
      </c>
      <c r="E604" s="4">
        <v>140000</v>
      </c>
      <c r="F604" s="4">
        <v>110500</v>
      </c>
      <c r="G604" s="1" t="s">
        <v>1370</v>
      </c>
      <c r="H604" t="s">
        <v>1450</v>
      </c>
      <c r="I604" s="1" t="s">
        <v>1228</v>
      </c>
      <c r="J604" s="1" t="s">
        <v>781</v>
      </c>
      <c r="K604" s="1" t="s">
        <v>108</v>
      </c>
      <c r="L604" s="1" t="s">
        <v>109</v>
      </c>
      <c r="M604" s="1" t="s">
        <v>130</v>
      </c>
      <c r="N604" s="1" t="s">
        <v>596</v>
      </c>
      <c r="O604" s="1" t="s">
        <v>168</v>
      </c>
      <c r="P604">
        <v>28</v>
      </c>
      <c r="Q604" s="1">
        <v>0</v>
      </c>
      <c r="R604" s="1">
        <v>0</v>
      </c>
      <c r="S604" s="1">
        <v>0</v>
      </c>
      <c r="T604" s="1">
        <v>1</v>
      </c>
      <c r="U604" s="1">
        <v>1</v>
      </c>
      <c r="V604" s="1">
        <v>0</v>
      </c>
      <c r="W604" s="1">
        <v>0</v>
      </c>
      <c r="X604" s="1">
        <v>1</v>
      </c>
      <c r="Y604" s="1">
        <v>0</v>
      </c>
      <c r="Z604" s="1">
        <v>1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 t="s">
        <v>33</v>
      </c>
      <c r="AH604" s="1" t="str">
        <f t="shared" si="9"/>
        <v>Jr</v>
      </c>
      <c r="AI604" t="s">
        <v>72</v>
      </c>
      <c r="AJ604" s="4">
        <v>110.5</v>
      </c>
      <c r="AK604" s="1">
        <f>Table1[[#This Row],[avg_salary]]*1000</f>
        <v>110500</v>
      </c>
    </row>
    <row r="605" spans="1:37" x14ac:dyDescent="0.3">
      <c r="A605" s="1">
        <v>767</v>
      </c>
      <c r="B605" s="1" t="s">
        <v>597</v>
      </c>
      <c r="C605" s="1" t="s">
        <v>1056</v>
      </c>
      <c r="D605" s="4">
        <v>83000</v>
      </c>
      <c r="E605" s="4">
        <v>148000</v>
      </c>
      <c r="F605" s="4">
        <v>115500</v>
      </c>
      <c r="G605" s="1" t="s">
        <v>1371</v>
      </c>
      <c r="H605" t="s">
        <v>1467</v>
      </c>
      <c r="I605" s="1" t="s">
        <v>1341</v>
      </c>
      <c r="J605" s="1" t="s">
        <v>93</v>
      </c>
      <c r="K605" s="1" t="s">
        <v>108</v>
      </c>
      <c r="L605" s="1" t="s">
        <v>109</v>
      </c>
      <c r="M605" s="1" t="s">
        <v>44</v>
      </c>
      <c r="N605" s="1" t="s">
        <v>598</v>
      </c>
      <c r="O605" s="1" t="s">
        <v>473</v>
      </c>
      <c r="P605">
        <v>48</v>
      </c>
      <c r="Q605" s="1">
        <v>1</v>
      </c>
      <c r="R605" s="1">
        <v>0</v>
      </c>
      <c r="S605" s="1">
        <v>0</v>
      </c>
      <c r="T605" s="1">
        <v>1</v>
      </c>
      <c r="U605" s="1">
        <v>1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 t="s">
        <v>98</v>
      </c>
      <c r="AH605" s="1" t="str">
        <f t="shared" si="9"/>
        <v>Sr</v>
      </c>
      <c r="AI605" t="s">
        <v>34</v>
      </c>
      <c r="AJ605" s="4">
        <v>115.5</v>
      </c>
      <c r="AK605" s="1">
        <f>Table1[[#This Row],[avg_salary]]*1000</f>
        <v>115500</v>
      </c>
    </row>
    <row r="606" spans="1:37" x14ac:dyDescent="0.3">
      <c r="A606" s="1">
        <v>768</v>
      </c>
      <c r="B606" s="1" t="s">
        <v>733</v>
      </c>
      <c r="C606" s="1" t="s">
        <v>921</v>
      </c>
      <c r="D606" s="4">
        <v>59000</v>
      </c>
      <c r="E606" s="4">
        <v>116000</v>
      </c>
      <c r="F606" s="4">
        <v>87500</v>
      </c>
      <c r="G606" s="1" t="s">
        <v>1399</v>
      </c>
      <c r="H606" t="s">
        <v>1439</v>
      </c>
      <c r="I606" s="1" t="s">
        <v>1189</v>
      </c>
      <c r="J606" s="1" t="s">
        <v>781</v>
      </c>
      <c r="K606" s="1" t="s">
        <v>89</v>
      </c>
      <c r="L606" s="1" t="s">
        <v>89</v>
      </c>
      <c r="M606" s="1" t="s">
        <v>54</v>
      </c>
      <c r="N606" s="1" t="s">
        <v>734</v>
      </c>
      <c r="O606" s="1" t="s">
        <v>67</v>
      </c>
      <c r="P606">
        <v>44</v>
      </c>
      <c r="Q606" s="1">
        <v>0</v>
      </c>
      <c r="R606" s="1">
        <v>0</v>
      </c>
      <c r="S606" s="1">
        <v>0</v>
      </c>
      <c r="T606" s="1">
        <v>1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 t="s">
        <v>71</v>
      </c>
      <c r="AH606" s="1" t="str">
        <f t="shared" si="9"/>
        <v>Jr</v>
      </c>
      <c r="AI606" t="s">
        <v>34</v>
      </c>
      <c r="AJ606" s="4">
        <v>87.5</v>
      </c>
      <c r="AK606" s="1">
        <f>Table1[[#This Row],[avg_salary]]*1000</f>
        <v>87500</v>
      </c>
    </row>
    <row r="607" spans="1:37" x14ac:dyDescent="0.3">
      <c r="A607" s="1">
        <v>769</v>
      </c>
      <c r="B607" s="1" t="s">
        <v>599</v>
      </c>
      <c r="C607" s="1" t="s">
        <v>878</v>
      </c>
      <c r="D607" s="4">
        <v>60000</v>
      </c>
      <c r="E607" s="4">
        <v>101000</v>
      </c>
      <c r="F607" s="4">
        <v>80500</v>
      </c>
      <c r="G607" s="1" t="s">
        <v>1181</v>
      </c>
      <c r="H607" t="s">
        <v>1223</v>
      </c>
      <c r="I607" s="1" t="s">
        <v>1182</v>
      </c>
      <c r="J607" s="1" t="s">
        <v>47</v>
      </c>
      <c r="K607" s="1" t="s">
        <v>48</v>
      </c>
      <c r="L607" s="1" t="s">
        <v>49</v>
      </c>
      <c r="M607" s="1" t="s">
        <v>50</v>
      </c>
      <c r="N607" s="1" t="s">
        <v>51</v>
      </c>
      <c r="O607" s="1" t="s">
        <v>52</v>
      </c>
      <c r="P607">
        <v>51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1</v>
      </c>
      <c r="Y607" s="1">
        <v>0</v>
      </c>
      <c r="Z607" s="1">
        <v>1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 t="s">
        <v>33</v>
      </c>
      <c r="AH607" s="1" t="str">
        <f t="shared" si="9"/>
        <v>Jr</v>
      </c>
      <c r="AI607" t="s">
        <v>34</v>
      </c>
      <c r="AJ607" s="4">
        <v>80.5</v>
      </c>
      <c r="AK607" s="1">
        <f>Table1[[#This Row],[avg_salary]]*1000</f>
        <v>80500</v>
      </c>
    </row>
    <row r="608" spans="1:37" x14ac:dyDescent="0.3">
      <c r="A608" s="1">
        <v>773</v>
      </c>
      <c r="B608" s="1" t="s">
        <v>600</v>
      </c>
      <c r="C608" s="1" t="s">
        <v>1057</v>
      </c>
      <c r="D608" s="4">
        <v>31000</v>
      </c>
      <c r="E608" s="4">
        <v>55000</v>
      </c>
      <c r="F608" s="4">
        <v>43000</v>
      </c>
      <c r="G608" s="1" t="s">
        <v>1372</v>
      </c>
      <c r="H608" t="s">
        <v>1467</v>
      </c>
      <c r="I608" s="1" t="s">
        <v>1341</v>
      </c>
      <c r="J608" s="1" t="s">
        <v>780</v>
      </c>
      <c r="K608" s="1" t="s">
        <v>378</v>
      </c>
      <c r="L608" s="1" t="s">
        <v>62</v>
      </c>
      <c r="M608" s="1" t="s">
        <v>44</v>
      </c>
      <c r="N608" s="1" t="s">
        <v>601</v>
      </c>
      <c r="O608" s="1" t="s">
        <v>473</v>
      </c>
      <c r="P608">
        <v>29</v>
      </c>
      <c r="Q608" s="1">
        <v>0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1</v>
      </c>
      <c r="AC608" s="1">
        <v>0</v>
      </c>
      <c r="AD608" s="1">
        <v>0</v>
      </c>
      <c r="AE608" s="1">
        <v>0</v>
      </c>
      <c r="AF608" s="1">
        <v>0</v>
      </c>
      <c r="AG608" s="1" t="s">
        <v>88</v>
      </c>
      <c r="AH608" s="1" t="str">
        <f t="shared" si="9"/>
        <v>Jr</v>
      </c>
      <c r="AI608" t="s">
        <v>34</v>
      </c>
      <c r="AJ608" s="4">
        <v>43</v>
      </c>
      <c r="AK608" s="1">
        <f>Table1[[#This Row],[avg_salary]]*1000</f>
        <v>43000</v>
      </c>
    </row>
    <row r="609" spans="1:37" x14ac:dyDescent="0.3">
      <c r="A609" s="1">
        <v>776</v>
      </c>
      <c r="B609" s="1" t="s">
        <v>602</v>
      </c>
      <c r="C609" s="1" t="s">
        <v>1058</v>
      </c>
      <c r="D609" s="4">
        <v>102000</v>
      </c>
      <c r="E609" s="4">
        <v>178000</v>
      </c>
      <c r="F609" s="4">
        <v>140000</v>
      </c>
      <c r="G609" s="1" t="s">
        <v>1195</v>
      </c>
      <c r="H609" t="s">
        <v>1441</v>
      </c>
      <c r="I609" s="1" t="s">
        <v>1196</v>
      </c>
      <c r="J609" s="1" t="s">
        <v>781</v>
      </c>
      <c r="K609" s="1" t="s">
        <v>89</v>
      </c>
      <c r="L609" s="1" t="s">
        <v>89</v>
      </c>
      <c r="M609" s="1" t="s">
        <v>54</v>
      </c>
      <c r="N609" s="1" t="s">
        <v>603</v>
      </c>
      <c r="O609" s="1" t="s">
        <v>91</v>
      </c>
      <c r="P609">
        <v>54</v>
      </c>
      <c r="Q609" s="1">
        <v>0</v>
      </c>
      <c r="R609" s="1">
        <v>0</v>
      </c>
      <c r="S609" s="1">
        <v>0</v>
      </c>
      <c r="T609" s="1">
        <v>1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 t="s">
        <v>516</v>
      </c>
      <c r="AH609" s="1" t="str">
        <f t="shared" si="9"/>
        <v>Sr</v>
      </c>
      <c r="AI609" t="s">
        <v>72</v>
      </c>
      <c r="AJ609" s="4">
        <v>140</v>
      </c>
      <c r="AK609" s="1">
        <f>Table1[[#This Row],[avg_salary]]*1000</f>
        <v>140000</v>
      </c>
    </row>
    <row r="610" spans="1:37" x14ac:dyDescent="0.3">
      <c r="A610" s="1">
        <v>777</v>
      </c>
      <c r="B610" s="1" t="s">
        <v>735</v>
      </c>
      <c r="C610" s="1" t="s">
        <v>1146</v>
      </c>
      <c r="D610" s="4">
        <v>136000</v>
      </c>
      <c r="E610" s="4">
        <v>208000</v>
      </c>
      <c r="F610" s="4">
        <v>172000</v>
      </c>
      <c r="G610" s="1" t="s">
        <v>1195</v>
      </c>
      <c r="H610" t="s">
        <v>1441</v>
      </c>
      <c r="I610" s="1" t="s">
        <v>1196</v>
      </c>
      <c r="J610" s="1" t="s">
        <v>781</v>
      </c>
      <c r="K610" s="1" t="s">
        <v>89</v>
      </c>
      <c r="L610" s="1" t="s">
        <v>89</v>
      </c>
      <c r="M610" s="1" t="s">
        <v>84</v>
      </c>
      <c r="N610" s="1" t="s">
        <v>126</v>
      </c>
      <c r="O610" s="1" t="s">
        <v>91</v>
      </c>
      <c r="P610">
        <v>43</v>
      </c>
      <c r="Q610" s="1">
        <v>0</v>
      </c>
      <c r="R610" s="1">
        <v>0</v>
      </c>
      <c r="S610" s="1">
        <v>1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 t="s">
        <v>516</v>
      </c>
      <c r="AH610" s="1" t="str">
        <f t="shared" si="9"/>
        <v>Sr</v>
      </c>
      <c r="AI610" t="s">
        <v>72</v>
      </c>
      <c r="AJ610" s="4">
        <v>172</v>
      </c>
      <c r="AK610" s="1">
        <f>Table1[[#This Row],[avg_salary]]*1000</f>
        <v>172000</v>
      </c>
    </row>
    <row r="611" spans="1:37" x14ac:dyDescent="0.3">
      <c r="A611" s="1">
        <v>778</v>
      </c>
      <c r="B611" s="1" t="s">
        <v>604</v>
      </c>
      <c r="C611" s="1" t="s">
        <v>1421</v>
      </c>
      <c r="D611" s="4">
        <v>110000</v>
      </c>
      <c r="E611" s="4">
        <v>130000</v>
      </c>
      <c r="F611" s="4">
        <v>120000</v>
      </c>
      <c r="G611" s="1" t="s">
        <v>1195</v>
      </c>
      <c r="H611" t="s">
        <v>1441</v>
      </c>
      <c r="I611" s="1" t="s">
        <v>1196</v>
      </c>
      <c r="J611" s="1" t="s">
        <v>780</v>
      </c>
      <c r="K611" s="1" t="s">
        <v>89</v>
      </c>
      <c r="L611" s="1" t="s">
        <v>74</v>
      </c>
      <c r="M611" s="1" t="s">
        <v>54</v>
      </c>
      <c r="N611" s="1" t="s">
        <v>563</v>
      </c>
      <c r="O611" s="1" t="s">
        <v>91</v>
      </c>
      <c r="P611">
        <v>43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 t="s">
        <v>71</v>
      </c>
      <c r="AH611" s="1" t="str">
        <f t="shared" si="9"/>
        <v>Sr</v>
      </c>
      <c r="AI611" t="s">
        <v>72</v>
      </c>
      <c r="AJ611" s="4">
        <v>120</v>
      </c>
      <c r="AK611" s="1">
        <f>Table1[[#This Row],[avg_salary]]*1000</f>
        <v>120000</v>
      </c>
    </row>
    <row r="612" spans="1:37" x14ac:dyDescent="0.3">
      <c r="A612" s="1">
        <v>779</v>
      </c>
      <c r="B612" s="1" t="s">
        <v>605</v>
      </c>
      <c r="C612" s="1" t="s">
        <v>1059</v>
      </c>
      <c r="D612" s="4">
        <v>48000</v>
      </c>
      <c r="E612" s="4">
        <v>85000</v>
      </c>
      <c r="F612" s="4">
        <v>66500</v>
      </c>
      <c r="G612" s="1" t="s">
        <v>1245</v>
      </c>
      <c r="H612" t="s">
        <v>1453</v>
      </c>
      <c r="I612" s="1" t="s">
        <v>1241</v>
      </c>
      <c r="J612" s="1" t="s">
        <v>780</v>
      </c>
      <c r="K612" s="1" t="s">
        <v>108</v>
      </c>
      <c r="L612" s="1" t="s">
        <v>109</v>
      </c>
      <c r="M612" s="1" t="s">
        <v>130</v>
      </c>
      <c r="N612" s="1" t="s">
        <v>606</v>
      </c>
      <c r="O612" s="1" t="s">
        <v>194</v>
      </c>
      <c r="P612">
        <v>26</v>
      </c>
      <c r="Q612" s="1">
        <v>0</v>
      </c>
      <c r="R612" s="1">
        <v>0</v>
      </c>
      <c r="S612" s="1">
        <v>0</v>
      </c>
      <c r="T612" s="1">
        <v>1</v>
      </c>
      <c r="U612" s="1">
        <v>1</v>
      </c>
      <c r="V612" s="1">
        <v>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1</v>
      </c>
      <c r="AC612" s="1">
        <v>0</v>
      </c>
      <c r="AD612" s="1">
        <v>0</v>
      </c>
      <c r="AE612" s="1">
        <v>0</v>
      </c>
      <c r="AF612" s="1">
        <v>0</v>
      </c>
      <c r="AG612" s="1" t="s">
        <v>88</v>
      </c>
      <c r="AH612" s="1" t="str">
        <f t="shared" si="9"/>
        <v>Jr</v>
      </c>
      <c r="AI612" t="s">
        <v>34</v>
      </c>
      <c r="AJ612" s="4">
        <v>66.5</v>
      </c>
      <c r="AK612" s="1">
        <f>Table1[[#This Row],[avg_salary]]*1000</f>
        <v>66500</v>
      </c>
    </row>
    <row r="613" spans="1:37" x14ac:dyDescent="0.3">
      <c r="A613" s="1">
        <v>780</v>
      </c>
      <c r="B613" s="1" t="s">
        <v>736</v>
      </c>
      <c r="C613" s="1" t="s">
        <v>962</v>
      </c>
      <c r="D613" s="4">
        <v>71000</v>
      </c>
      <c r="E613" s="4">
        <v>129000</v>
      </c>
      <c r="F613" s="4">
        <v>100000</v>
      </c>
      <c r="G613" s="1" t="s">
        <v>1399</v>
      </c>
      <c r="H613" t="s">
        <v>1439</v>
      </c>
      <c r="I613" s="1" t="s">
        <v>1189</v>
      </c>
      <c r="J613" s="1" t="s">
        <v>781</v>
      </c>
      <c r="K613" s="1" t="s">
        <v>89</v>
      </c>
      <c r="L613" s="1" t="s">
        <v>89</v>
      </c>
      <c r="M613" s="1" t="s">
        <v>54</v>
      </c>
      <c r="N613" s="1" t="s">
        <v>734</v>
      </c>
      <c r="O613" s="1" t="s">
        <v>67</v>
      </c>
      <c r="P613">
        <v>28</v>
      </c>
      <c r="Q613" s="1">
        <v>0</v>
      </c>
      <c r="R613" s="1">
        <v>0</v>
      </c>
      <c r="S613" s="1">
        <v>0</v>
      </c>
      <c r="T613" s="1">
        <v>1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 t="s">
        <v>71</v>
      </c>
      <c r="AH613" s="1" t="str">
        <f t="shared" si="9"/>
        <v>Jr</v>
      </c>
      <c r="AI613" t="s">
        <v>72</v>
      </c>
      <c r="AJ613" s="4">
        <v>100</v>
      </c>
      <c r="AK613" s="1">
        <f>Table1[[#This Row],[avg_salary]]*1000</f>
        <v>100000</v>
      </c>
    </row>
    <row r="614" spans="1:37" x14ac:dyDescent="0.3">
      <c r="A614" s="1">
        <v>781</v>
      </c>
      <c r="B614" s="1" t="s">
        <v>607</v>
      </c>
      <c r="C614" s="1" t="s">
        <v>1060</v>
      </c>
      <c r="D614" s="4">
        <v>66000</v>
      </c>
      <c r="E614" s="4">
        <v>123000</v>
      </c>
      <c r="F614" s="4">
        <v>94500</v>
      </c>
      <c r="G614" s="1" t="s">
        <v>1200</v>
      </c>
      <c r="H614" t="s">
        <v>1439</v>
      </c>
      <c r="I614" s="1" t="s">
        <v>1189</v>
      </c>
      <c r="J614" s="1" t="s">
        <v>780</v>
      </c>
      <c r="K614" s="1" t="s">
        <v>200</v>
      </c>
      <c r="L614" s="1" t="s">
        <v>43</v>
      </c>
      <c r="M614" s="1" t="s">
        <v>100</v>
      </c>
      <c r="N614" s="1" t="s">
        <v>608</v>
      </c>
      <c r="O614" s="1" t="s">
        <v>67</v>
      </c>
      <c r="P614">
        <v>36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 t="s">
        <v>98</v>
      </c>
      <c r="AH614" s="1" t="str">
        <f t="shared" si="9"/>
        <v>Jr</v>
      </c>
      <c r="AI614" t="s">
        <v>72</v>
      </c>
      <c r="AJ614" s="4">
        <v>94.5</v>
      </c>
      <c r="AK614" s="1">
        <f>Table1[[#This Row],[avg_salary]]*1000</f>
        <v>94500</v>
      </c>
    </row>
    <row r="615" spans="1:37" x14ac:dyDescent="0.3">
      <c r="A615" s="1">
        <v>782</v>
      </c>
      <c r="B615" s="1" t="s">
        <v>712</v>
      </c>
      <c r="C615" s="1" t="s">
        <v>1147</v>
      </c>
      <c r="D615" s="4">
        <v>171000</v>
      </c>
      <c r="E615" s="4">
        <v>272000</v>
      </c>
      <c r="F615" s="4">
        <v>221500</v>
      </c>
      <c r="G615" s="1" t="s">
        <v>1200</v>
      </c>
      <c r="H615" t="s">
        <v>1439</v>
      </c>
      <c r="I615" s="1" t="s">
        <v>1189</v>
      </c>
      <c r="J615" s="1" t="s">
        <v>780</v>
      </c>
      <c r="K615" s="1" t="s">
        <v>37</v>
      </c>
      <c r="L615" s="1" t="s">
        <v>38</v>
      </c>
      <c r="M615" s="1" t="s">
        <v>54</v>
      </c>
      <c r="N615" s="1" t="s">
        <v>737</v>
      </c>
      <c r="O615" s="1" t="s">
        <v>67</v>
      </c>
      <c r="P615">
        <v>50</v>
      </c>
      <c r="Q615" s="1">
        <v>1</v>
      </c>
      <c r="R615" s="1">
        <v>0</v>
      </c>
      <c r="S615" s="1">
        <v>0</v>
      </c>
      <c r="T615" s="1">
        <v>1</v>
      </c>
      <c r="U615" s="1">
        <v>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 t="s">
        <v>33</v>
      </c>
      <c r="AH615" s="1" t="str">
        <f t="shared" si="9"/>
        <v>Sr</v>
      </c>
      <c r="AI615" t="s">
        <v>34</v>
      </c>
      <c r="AJ615" s="4">
        <v>221.5</v>
      </c>
      <c r="AK615" s="1">
        <f>Table1[[#This Row],[avg_salary]]*1000</f>
        <v>221500</v>
      </c>
    </row>
    <row r="616" spans="1:37" x14ac:dyDescent="0.3">
      <c r="A616" s="1">
        <v>783</v>
      </c>
      <c r="B616" s="1" t="s">
        <v>609</v>
      </c>
      <c r="C616" s="1" t="s">
        <v>1061</v>
      </c>
      <c r="D616" s="4">
        <v>92000</v>
      </c>
      <c r="E616" s="4">
        <v>146000</v>
      </c>
      <c r="F616" s="4">
        <v>119000</v>
      </c>
      <c r="G616" s="1" t="s">
        <v>1194</v>
      </c>
      <c r="H616" t="s">
        <v>1223</v>
      </c>
      <c r="I616" s="1" t="s">
        <v>1182</v>
      </c>
      <c r="J616" s="1" t="s">
        <v>47</v>
      </c>
      <c r="K616" s="1" t="s">
        <v>48</v>
      </c>
      <c r="L616" s="1" t="s">
        <v>49</v>
      </c>
      <c r="M616" s="1" t="s">
        <v>50</v>
      </c>
      <c r="N616" s="1" t="s">
        <v>51</v>
      </c>
      <c r="O616" s="1" t="s">
        <v>52</v>
      </c>
      <c r="P616">
        <v>19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1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 t="s">
        <v>33</v>
      </c>
      <c r="AH616" s="1" t="str">
        <f t="shared" si="9"/>
        <v>Sr</v>
      </c>
      <c r="AI616" t="s">
        <v>34</v>
      </c>
      <c r="AJ616" s="4">
        <v>119</v>
      </c>
      <c r="AK616" s="1">
        <f>Table1[[#This Row],[avg_salary]]*1000</f>
        <v>119000</v>
      </c>
    </row>
    <row r="617" spans="1:37" x14ac:dyDescent="0.3">
      <c r="A617" s="1">
        <v>784</v>
      </c>
      <c r="B617" s="1" t="s">
        <v>150</v>
      </c>
      <c r="C617" s="1" t="s">
        <v>1148</v>
      </c>
      <c r="D617" s="4">
        <v>65000</v>
      </c>
      <c r="E617" s="4">
        <v>126000</v>
      </c>
      <c r="F617" s="4">
        <v>95500</v>
      </c>
      <c r="G617" s="1" t="s">
        <v>1203</v>
      </c>
      <c r="H617" t="s">
        <v>1444</v>
      </c>
      <c r="I617" s="1" t="s">
        <v>1204</v>
      </c>
      <c r="J617" s="1" t="s">
        <v>780</v>
      </c>
      <c r="K617" s="1" t="s">
        <v>64</v>
      </c>
      <c r="L617" s="1" t="s">
        <v>43</v>
      </c>
      <c r="M617" s="1" t="s">
        <v>30</v>
      </c>
      <c r="N617" s="1" t="s">
        <v>738</v>
      </c>
      <c r="O617" s="1" t="s">
        <v>120</v>
      </c>
      <c r="P617">
        <v>36</v>
      </c>
      <c r="Q617" s="1">
        <v>1</v>
      </c>
      <c r="R617" s="1">
        <v>0</v>
      </c>
      <c r="S617" s="1">
        <v>0</v>
      </c>
      <c r="T617" s="1">
        <v>0</v>
      </c>
      <c r="U617" s="1">
        <v>1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 t="s">
        <v>98</v>
      </c>
      <c r="AH617" s="1" t="str">
        <f t="shared" si="9"/>
        <v>Jr</v>
      </c>
      <c r="AI617" t="s">
        <v>34</v>
      </c>
      <c r="AJ617" s="4">
        <v>95.5</v>
      </c>
      <c r="AK617" s="1">
        <f>Table1[[#This Row],[avg_salary]]*1000</f>
        <v>95500</v>
      </c>
    </row>
    <row r="618" spans="1:37" x14ac:dyDescent="0.3">
      <c r="A618" s="1">
        <v>785</v>
      </c>
      <c r="B618" s="1" t="s">
        <v>614</v>
      </c>
      <c r="C618" s="1" t="s">
        <v>1062</v>
      </c>
      <c r="D618" s="4">
        <v>150000</v>
      </c>
      <c r="E618" s="4">
        <v>239000</v>
      </c>
      <c r="F618" s="4">
        <v>194500</v>
      </c>
      <c r="G618" s="1" t="s">
        <v>1203</v>
      </c>
      <c r="H618" t="s">
        <v>1444</v>
      </c>
      <c r="I618" s="1" t="s">
        <v>1204</v>
      </c>
      <c r="J618" s="1" t="s">
        <v>780</v>
      </c>
      <c r="K618" s="1" t="s">
        <v>108</v>
      </c>
      <c r="L618" s="1" t="s">
        <v>109</v>
      </c>
      <c r="M618" s="1" t="s">
        <v>84</v>
      </c>
      <c r="N618" s="1" t="s">
        <v>174</v>
      </c>
      <c r="O618" s="1" t="s">
        <v>120</v>
      </c>
      <c r="P618">
        <v>37</v>
      </c>
      <c r="Q618" s="1">
        <v>1</v>
      </c>
      <c r="R618" s="1">
        <v>0</v>
      </c>
      <c r="S618" s="1">
        <v>0</v>
      </c>
      <c r="T618" s="1">
        <v>0</v>
      </c>
      <c r="U618" s="1">
        <v>0</v>
      </c>
      <c r="V618" s="1">
        <v>1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 t="s">
        <v>33</v>
      </c>
      <c r="AH618" s="1" t="str">
        <f t="shared" si="9"/>
        <v>Sr</v>
      </c>
      <c r="AI618" t="s">
        <v>72</v>
      </c>
      <c r="AJ618" s="4">
        <v>194.5</v>
      </c>
      <c r="AK618" s="1">
        <f>Table1[[#This Row],[avg_salary]]*1000</f>
        <v>194500</v>
      </c>
    </row>
    <row r="619" spans="1:37" x14ac:dyDescent="0.3">
      <c r="A619" s="1">
        <v>786</v>
      </c>
      <c r="B619" s="1" t="s">
        <v>610</v>
      </c>
      <c r="C619" s="1" t="s">
        <v>1432</v>
      </c>
      <c r="D619" s="4">
        <v>43000</v>
      </c>
      <c r="E619" s="4">
        <v>60000</v>
      </c>
      <c r="F619" s="4">
        <v>51500</v>
      </c>
      <c r="G619" s="1" t="s">
        <v>1276</v>
      </c>
      <c r="H619" t="s">
        <v>1460</v>
      </c>
      <c r="I619" s="1" t="s">
        <v>1277</v>
      </c>
      <c r="J619" s="1" t="s">
        <v>107</v>
      </c>
      <c r="K619" s="1" t="s">
        <v>37</v>
      </c>
      <c r="L619" s="1" t="s">
        <v>38</v>
      </c>
      <c r="M619" s="1" t="s">
        <v>84</v>
      </c>
      <c r="N619" s="1" t="s">
        <v>611</v>
      </c>
      <c r="O619" s="1" t="s">
        <v>268</v>
      </c>
      <c r="P619">
        <v>25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 t="s">
        <v>71</v>
      </c>
      <c r="AH619" s="1" t="str">
        <f t="shared" si="9"/>
        <v>Jr</v>
      </c>
      <c r="AI619" t="s">
        <v>34</v>
      </c>
      <c r="AJ619" s="4">
        <v>51.5</v>
      </c>
      <c r="AK619" s="1">
        <f>Table1[[#This Row],[avg_salary]]*1000</f>
        <v>51500</v>
      </c>
    </row>
    <row r="620" spans="1:37" x14ac:dyDescent="0.3">
      <c r="A620" s="1">
        <v>787</v>
      </c>
      <c r="B620" s="1" t="s">
        <v>612</v>
      </c>
      <c r="C620" s="2" t="s">
        <v>1431</v>
      </c>
      <c r="D620" s="4">
        <v>20000</v>
      </c>
      <c r="E620" s="4">
        <v>35000</v>
      </c>
      <c r="F620" s="4">
        <v>27500</v>
      </c>
      <c r="G620" s="1" t="s">
        <v>1328</v>
      </c>
      <c r="H620" t="s">
        <v>1463</v>
      </c>
      <c r="I620" s="1" t="s">
        <v>1295</v>
      </c>
      <c r="J620" s="1" t="s">
        <v>781</v>
      </c>
      <c r="K620" s="1" t="s">
        <v>188</v>
      </c>
      <c r="L620" s="1" t="s">
        <v>62</v>
      </c>
      <c r="M620" s="1" t="s">
        <v>39</v>
      </c>
      <c r="N620" s="1" t="s">
        <v>613</v>
      </c>
      <c r="O620" s="1" t="s">
        <v>331</v>
      </c>
      <c r="P620">
        <v>35</v>
      </c>
      <c r="Q620" s="1">
        <v>0</v>
      </c>
      <c r="R620" s="1">
        <v>0</v>
      </c>
      <c r="S620" s="1">
        <v>0</v>
      </c>
      <c r="T620" s="1">
        <v>1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0</v>
      </c>
      <c r="AG620" s="1" t="s">
        <v>88</v>
      </c>
      <c r="AH620" s="1" t="str">
        <f t="shared" si="9"/>
        <v>Jr</v>
      </c>
      <c r="AI620" t="s">
        <v>34</v>
      </c>
      <c r="AJ620" s="4">
        <v>27.5</v>
      </c>
      <c r="AK620" s="1">
        <f>Table1[[#This Row],[avg_salary]]*1000</f>
        <v>27500</v>
      </c>
    </row>
    <row r="621" spans="1:37" x14ac:dyDescent="0.3">
      <c r="A621" s="1">
        <v>788</v>
      </c>
      <c r="B621" s="1" t="s">
        <v>739</v>
      </c>
      <c r="C621" s="1" t="s">
        <v>1149</v>
      </c>
      <c r="D621" s="4">
        <v>118000</v>
      </c>
      <c r="E621" s="4">
        <v>228000</v>
      </c>
      <c r="F621" s="4">
        <v>173000</v>
      </c>
      <c r="G621" s="1" t="s">
        <v>1375</v>
      </c>
      <c r="H621" t="s">
        <v>1442</v>
      </c>
      <c r="I621" s="1" t="s">
        <v>1198</v>
      </c>
      <c r="J621" s="1" t="s">
        <v>780</v>
      </c>
      <c r="K621" s="1" t="s">
        <v>298</v>
      </c>
      <c r="L621" s="1" t="s">
        <v>62</v>
      </c>
      <c r="M621" s="1" t="s">
        <v>58</v>
      </c>
      <c r="N621" s="1" t="s">
        <v>740</v>
      </c>
      <c r="O621" s="1" t="s">
        <v>97</v>
      </c>
      <c r="P621">
        <v>32</v>
      </c>
      <c r="Q621" s="1">
        <v>1</v>
      </c>
      <c r="R621" s="1">
        <v>0</v>
      </c>
      <c r="S621" s="1">
        <v>0</v>
      </c>
      <c r="T621" s="1">
        <v>1</v>
      </c>
      <c r="U621" s="1">
        <v>1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 t="s">
        <v>88</v>
      </c>
      <c r="AH621" s="1" t="str">
        <f t="shared" si="9"/>
        <v>Sr</v>
      </c>
      <c r="AI621" t="s">
        <v>34</v>
      </c>
      <c r="AJ621" s="4">
        <v>173</v>
      </c>
      <c r="AK621" s="1">
        <f>Table1[[#This Row],[avg_salary]]*1000</f>
        <v>173000</v>
      </c>
    </row>
    <row r="622" spans="1:37" x14ac:dyDescent="0.3">
      <c r="A622" s="1">
        <v>789</v>
      </c>
      <c r="B622" s="1" t="s">
        <v>616</v>
      </c>
      <c r="C622" s="1" t="s">
        <v>1414</v>
      </c>
      <c r="D622" s="4">
        <v>82000</v>
      </c>
      <c r="E622" s="4">
        <v>129000</v>
      </c>
      <c r="F622" s="4">
        <v>105500</v>
      </c>
      <c r="G622" s="1" t="s">
        <v>1331</v>
      </c>
      <c r="H622" t="s">
        <v>1438</v>
      </c>
      <c r="I622" s="1" t="s">
        <v>1186</v>
      </c>
      <c r="J622" s="1" t="s">
        <v>322</v>
      </c>
      <c r="K622" s="1" t="s">
        <v>323</v>
      </c>
      <c r="L622" s="1" t="s">
        <v>255</v>
      </c>
      <c r="M622" s="1" t="s">
        <v>54</v>
      </c>
      <c r="N622" s="1" t="s">
        <v>617</v>
      </c>
      <c r="O622" s="1" t="s">
        <v>60</v>
      </c>
      <c r="P622">
        <v>34</v>
      </c>
      <c r="Q622" s="1">
        <v>1</v>
      </c>
      <c r="R622" s="1">
        <v>0</v>
      </c>
      <c r="S622" s="1">
        <v>1</v>
      </c>
      <c r="T622" s="1">
        <v>0</v>
      </c>
      <c r="U622" s="1">
        <v>0</v>
      </c>
      <c r="V622" s="1">
        <v>0</v>
      </c>
      <c r="W622" s="1">
        <v>1</v>
      </c>
      <c r="X622" s="1">
        <v>1</v>
      </c>
      <c r="Y622" s="1">
        <v>1</v>
      </c>
      <c r="Z622" s="1">
        <v>1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 t="s">
        <v>33</v>
      </c>
      <c r="AH622" s="1" t="str">
        <f t="shared" si="9"/>
        <v>Jr</v>
      </c>
      <c r="AI622" t="s">
        <v>72</v>
      </c>
      <c r="AJ622" s="4">
        <v>105.5</v>
      </c>
      <c r="AK622" s="1">
        <f>Table1[[#This Row],[avg_salary]]*1000</f>
        <v>105500</v>
      </c>
    </row>
    <row r="623" spans="1:37" x14ac:dyDescent="0.3">
      <c r="A623" s="1">
        <v>790</v>
      </c>
      <c r="B623" s="1" t="s">
        <v>615</v>
      </c>
      <c r="C623" s="1" t="s">
        <v>1063</v>
      </c>
      <c r="D623" s="4">
        <v>52000</v>
      </c>
      <c r="E623" s="4">
        <v>91000</v>
      </c>
      <c r="F623" s="4">
        <v>71500</v>
      </c>
      <c r="G623" s="1" t="s">
        <v>1346</v>
      </c>
      <c r="H623" t="s">
        <v>1438</v>
      </c>
      <c r="I623" s="1" t="s">
        <v>1186</v>
      </c>
      <c r="J623" s="1" t="s">
        <v>107</v>
      </c>
      <c r="K623" s="1" t="s">
        <v>79</v>
      </c>
      <c r="L623" s="1" t="s">
        <v>43</v>
      </c>
      <c r="M623" s="1" t="s">
        <v>50</v>
      </c>
      <c r="N623" s="1" t="s">
        <v>495</v>
      </c>
      <c r="O623" s="1" t="s">
        <v>60</v>
      </c>
      <c r="P623">
        <v>22</v>
      </c>
      <c r="Q623" s="1">
        <v>1</v>
      </c>
      <c r="R623" s="1">
        <v>0</v>
      </c>
      <c r="S623" s="1">
        <v>1</v>
      </c>
      <c r="T623" s="1">
        <v>1</v>
      </c>
      <c r="U623" s="1">
        <v>1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 t="s">
        <v>71</v>
      </c>
      <c r="AH623" s="1" t="str">
        <f t="shared" si="9"/>
        <v>Jr</v>
      </c>
      <c r="AI623" t="s">
        <v>34</v>
      </c>
      <c r="AJ623" s="4">
        <v>71.5</v>
      </c>
      <c r="AK623" s="1">
        <f>Table1[[#This Row],[avg_salary]]*1000</f>
        <v>71500</v>
      </c>
    </row>
    <row r="624" spans="1:37" x14ac:dyDescent="0.3">
      <c r="A624" s="1">
        <v>791</v>
      </c>
      <c r="B624" s="1" t="s">
        <v>618</v>
      </c>
      <c r="C624" s="1" t="s">
        <v>1064</v>
      </c>
      <c r="D624" s="4">
        <v>47000</v>
      </c>
      <c r="E624" s="4">
        <v>101000</v>
      </c>
      <c r="F624" s="4">
        <v>74000</v>
      </c>
      <c r="G624" s="1" t="s">
        <v>1359</v>
      </c>
      <c r="H624" t="s">
        <v>1458</v>
      </c>
      <c r="I624" s="1" t="s">
        <v>1271</v>
      </c>
      <c r="J624" s="1" t="s">
        <v>780</v>
      </c>
      <c r="K624" s="1" t="s">
        <v>157</v>
      </c>
      <c r="L624" s="1" t="s">
        <v>158</v>
      </c>
      <c r="M624" s="1" t="s">
        <v>84</v>
      </c>
      <c r="N624" s="1" t="s">
        <v>519</v>
      </c>
      <c r="O624" s="1" t="s">
        <v>259</v>
      </c>
      <c r="P624">
        <v>58</v>
      </c>
      <c r="Q624" s="1">
        <v>0</v>
      </c>
      <c r="R624" s="1">
        <v>0</v>
      </c>
      <c r="S624" s="1">
        <v>0</v>
      </c>
      <c r="T624" s="1">
        <v>1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 t="s">
        <v>71</v>
      </c>
      <c r="AH624" s="1" t="str">
        <f t="shared" si="9"/>
        <v>Jr</v>
      </c>
      <c r="AI624" t="s">
        <v>34</v>
      </c>
      <c r="AJ624" s="4">
        <v>74</v>
      </c>
      <c r="AK624" s="1">
        <f>Table1[[#This Row],[avg_salary]]*1000</f>
        <v>74000</v>
      </c>
    </row>
    <row r="625" spans="1:37" x14ac:dyDescent="0.3">
      <c r="A625" s="1">
        <v>794</v>
      </c>
      <c r="B625" s="1" t="s">
        <v>619</v>
      </c>
      <c r="C625" s="1" t="s">
        <v>1065</v>
      </c>
      <c r="D625" s="4">
        <v>49000</v>
      </c>
      <c r="E625" s="4">
        <v>76000</v>
      </c>
      <c r="F625" s="4">
        <v>62500</v>
      </c>
      <c r="G625" s="1" t="s">
        <v>1232</v>
      </c>
      <c r="H625" t="s">
        <v>1451</v>
      </c>
      <c r="I625" s="1" t="s">
        <v>1233</v>
      </c>
      <c r="J625" s="1" t="s">
        <v>781</v>
      </c>
      <c r="K625" s="1" t="s">
        <v>29</v>
      </c>
      <c r="L625" s="1" t="s">
        <v>29</v>
      </c>
      <c r="M625" s="1" t="s">
        <v>84</v>
      </c>
      <c r="N625" s="1" t="s">
        <v>620</v>
      </c>
      <c r="O625" s="1" t="s">
        <v>177</v>
      </c>
      <c r="P625">
        <v>23</v>
      </c>
      <c r="Q625" s="1">
        <v>0</v>
      </c>
      <c r="R625" s="1">
        <v>0</v>
      </c>
      <c r="S625" s="1">
        <v>0</v>
      </c>
      <c r="T625" s="1">
        <v>1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 t="s">
        <v>88</v>
      </c>
      <c r="AH625" s="1" t="str">
        <f t="shared" si="9"/>
        <v>Jr</v>
      </c>
      <c r="AI625" t="s">
        <v>34</v>
      </c>
      <c r="AJ625" s="4">
        <v>62.5</v>
      </c>
      <c r="AK625" s="1">
        <f>Table1[[#This Row],[avg_salary]]*1000</f>
        <v>62500</v>
      </c>
    </row>
    <row r="626" spans="1:37" x14ac:dyDescent="0.3">
      <c r="A626" s="1">
        <v>795</v>
      </c>
      <c r="B626" s="1" t="s">
        <v>621</v>
      </c>
      <c r="C626" s="1" t="s">
        <v>1066</v>
      </c>
      <c r="D626" s="4">
        <v>43000</v>
      </c>
      <c r="E626" s="4">
        <v>88000</v>
      </c>
      <c r="F626" s="4">
        <v>65500</v>
      </c>
      <c r="G626" s="1" t="s">
        <v>1366</v>
      </c>
      <c r="H626" t="s">
        <v>1458</v>
      </c>
      <c r="I626" s="1" t="s">
        <v>1271</v>
      </c>
      <c r="J626" s="1" t="s">
        <v>107</v>
      </c>
      <c r="K626" s="1" t="s">
        <v>79</v>
      </c>
      <c r="L626" s="1" t="s">
        <v>43</v>
      </c>
      <c r="M626" s="1" t="s">
        <v>50</v>
      </c>
      <c r="N626" s="1" t="s">
        <v>622</v>
      </c>
      <c r="O626" s="1" t="s">
        <v>259</v>
      </c>
      <c r="P626">
        <v>29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 t="s">
        <v>71</v>
      </c>
      <c r="AH626" s="1" t="str">
        <f t="shared" si="9"/>
        <v>Jr</v>
      </c>
      <c r="AI626" t="s">
        <v>72</v>
      </c>
      <c r="AJ626" s="4">
        <v>65.5</v>
      </c>
      <c r="AK626" s="1">
        <f>Table1[[#This Row],[avg_salary]]*1000</f>
        <v>65500</v>
      </c>
    </row>
    <row r="627" spans="1:37" x14ac:dyDescent="0.3">
      <c r="A627" s="1">
        <v>797</v>
      </c>
      <c r="B627" s="1" t="s">
        <v>28</v>
      </c>
      <c r="C627" s="1" t="s">
        <v>835</v>
      </c>
      <c r="D627" s="4">
        <v>61000</v>
      </c>
      <c r="E627" s="4">
        <v>109000</v>
      </c>
      <c r="F627" s="4">
        <v>85000</v>
      </c>
      <c r="G627" s="1" t="s">
        <v>1240</v>
      </c>
      <c r="H627" t="s">
        <v>1453</v>
      </c>
      <c r="I627" s="1" t="s">
        <v>1241</v>
      </c>
      <c r="J627" s="1" t="s">
        <v>781</v>
      </c>
      <c r="K627" s="1" t="s">
        <v>192</v>
      </c>
      <c r="L627" s="1" t="s">
        <v>77</v>
      </c>
      <c r="M627" s="1" t="s">
        <v>130</v>
      </c>
      <c r="N627" s="1" t="s">
        <v>193</v>
      </c>
      <c r="O627" s="1" t="s">
        <v>194</v>
      </c>
      <c r="P627">
        <v>49</v>
      </c>
      <c r="Q627" s="1">
        <v>1</v>
      </c>
      <c r="R627" s="1">
        <v>0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1</v>
      </c>
      <c r="Y627" s="1">
        <v>0</v>
      </c>
      <c r="Z627" s="1">
        <v>1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 t="s">
        <v>33</v>
      </c>
      <c r="AH627" s="1" t="str">
        <f t="shared" si="9"/>
        <v>Jr</v>
      </c>
      <c r="AI627" t="s">
        <v>34</v>
      </c>
      <c r="AJ627" s="4">
        <v>85</v>
      </c>
      <c r="AK627" s="1">
        <f>Table1[[#This Row],[avg_salary]]*1000</f>
        <v>85000</v>
      </c>
    </row>
    <row r="628" spans="1:37" x14ac:dyDescent="0.3">
      <c r="A628" s="1">
        <v>799</v>
      </c>
      <c r="B628" s="1" t="s">
        <v>675</v>
      </c>
      <c r="C628" s="1" t="s">
        <v>1150</v>
      </c>
      <c r="D628" s="4">
        <v>113000</v>
      </c>
      <c r="E628" s="4">
        <v>182000</v>
      </c>
      <c r="F628" s="4">
        <v>147500</v>
      </c>
      <c r="G628" s="1" t="s">
        <v>1386</v>
      </c>
      <c r="H628" t="s">
        <v>1436</v>
      </c>
      <c r="I628" s="1" t="s">
        <v>1178</v>
      </c>
      <c r="J628" s="1" t="s">
        <v>781</v>
      </c>
      <c r="K628" s="1" t="s">
        <v>89</v>
      </c>
      <c r="L628" s="1" t="s">
        <v>89</v>
      </c>
      <c r="M628" s="1" t="s">
        <v>84</v>
      </c>
      <c r="N628" s="1" t="s">
        <v>536</v>
      </c>
      <c r="O628" s="1" t="s">
        <v>41</v>
      </c>
      <c r="P628">
        <v>41</v>
      </c>
      <c r="Q628" s="1">
        <v>1</v>
      </c>
      <c r="R628" s="1">
        <v>0</v>
      </c>
      <c r="S628" s="1">
        <v>0</v>
      </c>
      <c r="T628" s="1">
        <v>1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 t="s">
        <v>33</v>
      </c>
      <c r="AH628" s="1" t="str">
        <f t="shared" si="9"/>
        <v>Sr</v>
      </c>
      <c r="AI628" t="s">
        <v>72</v>
      </c>
      <c r="AJ628" s="4">
        <v>147.5</v>
      </c>
      <c r="AK628" s="1">
        <f>Table1[[#This Row],[avg_salary]]*1000</f>
        <v>147500</v>
      </c>
    </row>
    <row r="629" spans="1:37" x14ac:dyDescent="0.3">
      <c r="A629" s="1">
        <v>802</v>
      </c>
      <c r="B629" s="1" t="s">
        <v>623</v>
      </c>
      <c r="C629" s="1" t="s">
        <v>1067</v>
      </c>
      <c r="D629" s="4">
        <v>124000</v>
      </c>
      <c r="E629" s="4">
        <v>199000</v>
      </c>
      <c r="F629" s="4">
        <v>161500</v>
      </c>
      <c r="G629" s="1" t="s">
        <v>1373</v>
      </c>
      <c r="H629" t="s">
        <v>1442</v>
      </c>
      <c r="I629" s="1" t="s">
        <v>1198</v>
      </c>
      <c r="J629" s="1" t="s">
        <v>780</v>
      </c>
      <c r="K629" s="1" t="s">
        <v>53</v>
      </c>
      <c r="L629" s="1" t="s">
        <v>43</v>
      </c>
      <c r="M629" s="1" t="s">
        <v>54</v>
      </c>
      <c r="N629" s="1" t="s">
        <v>624</v>
      </c>
      <c r="O629" s="1" t="s">
        <v>97</v>
      </c>
      <c r="P629">
        <v>38</v>
      </c>
      <c r="Q629" s="1">
        <v>1</v>
      </c>
      <c r="R629" s="1">
        <v>0</v>
      </c>
      <c r="S629" s="1">
        <v>1</v>
      </c>
      <c r="T629" s="1">
        <v>1</v>
      </c>
      <c r="U629" s="1">
        <v>1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1</v>
      </c>
      <c r="AC629" s="1">
        <v>1</v>
      </c>
      <c r="AD629" s="1">
        <v>0</v>
      </c>
      <c r="AE629" s="1">
        <v>0</v>
      </c>
      <c r="AF629" s="1">
        <v>0</v>
      </c>
      <c r="AG629" s="1" t="s">
        <v>33</v>
      </c>
      <c r="AH629" s="1" t="str">
        <f t="shared" si="9"/>
        <v>Sr</v>
      </c>
      <c r="AI629" t="s">
        <v>34</v>
      </c>
      <c r="AJ629" s="4">
        <v>161.5</v>
      </c>
      <c r="AK629" s="1">
        <f>Table1[[#This Row],[avg_salary]]*1000</f>
        <v>161500</v>
      </c>
    </row>
    <row r="630" spans="1:37" x14ac:dyDescent="0.3">
      <c r="A630" s="1">
        <v>803</v>
      </c>
      <c r="B630" s="1" t="s">
        <v>150</v>
      </c>
      <c r="C630" s="1" t="s">
        <v>1151</v>
      </c>
      <c r="D630" s="4">
        <v>58000</v>
      </c>
      <c r="E630" s="4">
        <v>104000</v>
      </c>
      <c r="F630" s="4">
        <v>81000</v>
      </c>
      <c r="G630" s="1" t="s">
        <v>1400</v>
      </c>
      <c r="H630" t="s">
        <v>1440</v>
      </c>
      <c r="I630" s="1" t="s">
        <v>1192</v>
      </c>
      <c r="J630" s="1" t="s">
        <v>107</v>
      </c>
      <c r="K630" s="1" t="s">
        <v>37</v>
      </c>
      <c r="L630" s="1" t="s">
        <v>38</v>
      </c>
      <c r="M630" s="1" t="s">
        <v>58</v>
      </c>
      <c r="N630" s="1" t="s">
        <v>741</v>
      </c>
      <c r="O630" s="1" t="s">
        <v>81</v>
      </c>
      <c r="P630">
        <v>41</v>
      </c>
      <c r="Q630" s="1">
        <v>0</v>
      </c>
      <c r="R630" s="1">
        <v>0</v>
      </c>
      <c r="S630" s="1">
        <v>0</v>
      </c>
      <c r="T630" s="1">
        <v>1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 t="s">
        <v>98</v>
      </c>
      <c r="AH630" s="1" t="str">
        <f t="shared" si="9"/>
        <v>Jr</v>
      </c>
      <c r="AI630" t="s">
        <v>34</v>
      </c>
      <c r="AJ630" s="4">
        <v>81</v>
      </c>
      <c r="AK630" s="1">
        <f>Table1[[#This Row],[avg_salary]]*1000</f>
        <v>81000</v>
      </c>
    </row>
    <row r="631" spans="1:37" x14ac:dyDescent="0.3">
      <c r="A631" s="1">
        <v>804</v>
      </c>
      <c r="B631" s="1" t="s">
        <v>625</v>
      </c>
      <c r="C631" s="1" t="s">
        <v>861</v>
      </c>
      <c r="D631" s="4">
        <v>52000</v>
      </c>
      <c r="E631" s="4">
        <v>93000</v>
      </c>
      <c r="F631" s="4">
        <v>72500</v>
      </c>
      <c r="G631" s="1" t="s">
        <v>1374</v>
      </c>
      <c r="H631" t="s">
        <v>1453</v>
      </c>
      <c r="I631" s="1" t="s">
        <v>1241</v>
      </c>
      <c r="J631" s="1" t="s">
        <v>36</v>
      </c>
      <c r="K631" s="1" t="s">
        <v>89</v>
      </c>
      <c r="L631" s="1" t="s">
        <v>89</v>
      </c>
      <c r="M631" s="1" t="s">
        <v>44</v>
      </c>
      <c r="N631" s="1" t="s">
        <v>626</v>
      </c>
      <c r="O631" s="1" t="s">
        <v>194</v>
      </c>
      <c r="P631">
        <v>56</v>
      </c>
      <c r="Q631" s="1">
        <v>0</v>
      </c>
      <c r="R631" s="1">
        <v>0</v>
      </c>
      <c r="S631" s="1">
        <v>0</v>
      </c>
      <c r="T631" s="1">
        <v>1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1">
        <v>0</v>
      </c>
      <c r="AE631" s="1">
        <v>0</v>
      </c>
      <c r="AF631" s="1">
        <v>0</v>
      </c>
      <c r="AG631" s="1" t="s">
        <v>88</v>
      </c>
      <c r="AH631" s="1" t="str">
        <f t="shared" si="9"/>
        <v>Jr</v>
      </c>
      <c r="AI631" t="s">
        <v>34</v>
      </c>
      <c r="AJ631" s="4">
        <v>72.5</v>
      </c>
      <c r="AK631" s="1">
        <f>Table1[[#This Row],[avg_salary]]*1000</f>
        <v>72500</v>
      </c>
    </row>
    <row r="632" spans="1:37" x14ac:dyDescent="0.3">
      <c r="A632" s="1">
        <v>806</v>
      </c>
      <c r="B632" s="1" t="s">
        <v>282</v>
      </c>
      <c r="C632" s="1" t="s">
        <v>1068</v>
      </c>
      <c r="D632" s="4">
        <v>97000</v>
      </c>
      <c r="E632" s="4">
        <v>181000</v>
      </c>
      <c r="F632" s="4">
        <v>139000</v>
      </c>
      <c r="G632" s="1" t="s">
        <v>1200</v>
      </c>
      <c r="H632" t="s">
        <v>1439</v>
      </c>
      <c r="I632" s="1" t="s">
        <v>1189</v>
      </c>
      <c r="J632" s="1" t="s">
        <v>781</v>
      </c>
      <c r="K632" s="1" t="s">
        <v>145</v>
      </c>
      <c r="L632" s="1" t="s">
        <v>74</v>
      </c>
      <c r="M632" s="1" t="s">
        <v>121</v>
      </c>
      <c r="N632" s="1" t="s">
        <v>627</v>
      </c>
      <c r="O632" s="1" t="s">
        <v>67</v>
      </c>
      <c r="P632">
        <v>22</v>
      </c>
      <c r="Q632" s="1">
        <v>1</v>
      </c>
      <c r="R632" s="1">
        <v>0</v>
      </c>
      <c r="S632" s="1">
        <v>1</v>
      </c>
      <c r="T632" s="1">
        <v>1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 t="s">
        <v>98</v>
      </c>
      <c r="AH632" s="1" t="str">
        <f t="shared" si="9"/>
        <v>Sr</v>
      </c>
      <c r="AI632" t="s">
        <v>34</v>
      </c>
      <c r="AJ632" s="4">
        <v>139</v>
      </c>
      <c r="AK632" s="1">
        <f>Table1[[#This Row],[avg_salary]]*1000</f>
        <v>139000</v>
      </c>
    </row>
    <row r="633" spans="1:37" x14ac:dyDescent="0.3">
      <c r="A633" s="1">
        <v>807</v>
      </c>
      <c r="B633" s="1" t="s">
        <v>282</v>
      </c>
      <c r="C633" s="1" t="s">
        <v>1069</v>
      </c>
      <c r="D633" s="4">
        <v>100000</v>
      </c>
      <c r="E633" s="4">
        <v>173000</v>
      </c>
      <c r="F633" s="4">
        <v>136500</v>
      </c>
      <c r="G633" s="1" t="s">
        <v>1200</v>
      </c>
      <c r="H633" t="s">
        <v>1439</v>
      </c>
      <c r="I633" s="1" t="s">
        <v>1189</v>
      </c>
      <c r="J633" s="1" t="s">
        <v>780</v>
      </c>
      <c r="K633" s="1" t="s">
        <v>73</v>
      </c>
      <c r="L633" s="1" t="s">
        <v>74</v>
      </c>
      <c r="M633" s="1" t="s">
        <v>121</v>
      </c>
      <c r="N633" s="1" t="s">
        <v>396</v>
      </c>
      <c r="O633" s="1" t="s">
        <v>67</v>
      </c>
      <c r="P633">
        <v>59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 t="s">
        <v>98</v>
      </c>
      <c r="AH633" s="1" t="str">
        <f t="shared" si="9"/>
        <v>Sr</v>
      </c>
      <c r="AI633" t="s">
        <v>34</v>
      </c>
      <c r="AJ633" s="4">
        <v>136.5</v>
      </c>
      <c r="AK633" s="1">
        <f>Table1[[#This Row],[avg_salary]]*1000</f>
        <v>136500</v>
      </c>
    </row>
    <row r="634" spans="1:37" x14ac:dyDescent="0.3">
      <c r="A634" s="1">
        <v>808</v>
      </c>
      <c r="B634" s="1" t="s">
        <v>490</v>
      </c>
      <c r="C634" s="1" t="s">
        <v>1152</v>
      </c>
      <c r="D634" s="4">
        <v>58000</v>
      </c>
      <c r="E634" s="4">
        <v>108000</v>
      </c>
      <c r="F634" s="4">
        <v>83000</v>
      </c>
      <c r="G634" s="1" t="s">
        <v>1183</v>
      </c>
      <c r="H634" t="s">
        <v>1183</v>
      </c>
      <c r="I634" s="1" t="s">
        <v>1184</v>
      </c>
      <c r="J634" s="1" t="s">
        <v>780</v>
      </c>
      <c r="K634" s="1" t="s">
        <v>73</v>
      </c>
      <c r="L634" s="1" t="s">
        <v>74</v>
      </c>
      <c r="M634" s="1" t="s">
        <v>54</v>
      </c>
      <c r="N634" s="1" t="s">
        <v>742</v>
      </c>
      <c r="O634" s="1" t="s">
        <v>56</v>
      </c>
      <c r="P634">
        <v>48</v>
      </c>
      <c r="Q634" s="1">
        <v>1</v>
      </c>
      <c r="R634" s="1">
        <v>1</v>
      </c>
      <c r="S634" s="1">
        <v>0</v>
      </c>
      <c r="T634" s="1">
        <v>1</v>
      </c>
      <c r="U634" s="1">
        <v>1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 t="s">
        <v>88</v>
      </c>
      <c r="AH634" s="1" t="str">
        <f t="shared" si="9"/>
        <v>Jr</v>
      </c>
      <c r="AI634" t="s">
        <v>34</v>
      </c>
      <c r="AJ634" s="4">
        <v>83</v>
      </c>
      <c r="AK634" s="1">
        <f>Table1[[#This Row],[avg_salary]]*1000</f>
        <v>83000</v>
      </c>
    </row>
    <row r="635" spans="1:37" x14ac:dyDescent="0.3">
      <c r="A635" s="1">
        <v>809</v>
      </c>
      <c r="B635" s="1" t="s">
        <v>743</v>
      </c>
      <c r="C635" s="1" t="s">
        <v>1153</v>
      </c>
      <c r="D635" s="4">
        <v>81000</v>
      </c>
      <c r="E635" s="4">
        <v>161000</v>
      </c>
      <c r="F635" s="4">
        <v>121000</v>
      </c>
      <c r="G635" s="1" t="s">
        <v>1195</v>
      </c>
      <c r="H635" t="s">
        <v>1441</v>
      </c>
      <c r="I635" s="1" t="s">
        <v>1196</v>
      </c>
      <c r="J635" s="1" t="s">
        <v>93</v>
      </c>
      <c r="K635" s="1" t="s">
        <v>79</v>
      </c>
      <c r="L635" s="1" t="s">
        <v>43</v>
      </c>
      <c r="M635" s="1" t="s">
        <v>201</v>
      </c>
      <c r="N635" s="1" t="s">
        <v>744</v>
      </c>
      <c r="O635" s="1" t="s">
        <v>91</v>
      </c>
      <c r="P635">
        <v>40</v>
      </c>
      <c r="Q635" s="1">
        <v>0</v>
      </c>
      <c r="R635" s="1">
        <v>0</v>
      </c>
      <c r="S635" s="1">
        <v>1</v>
      </c>
      <c r="T635" s="1">
        <v>1</v>
      </c>
      <c r="U635" s="1">
        <v>0</v>
      </c>
      <c r="V635" s="1">
        <v>0</v>
      </c>
      <c r="W635" s="1">
        <v>0</v>
      </c>
      <c r="X635" s="1">
        <v>1</v>
      </c>
      <c r="Y635" s="1">
        <v>0</v>
      </c>
      <c r="Z635" s="1">
        <v>1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 t="s">
        <v>71</v>
      </c>
      <c r="AH635" s="1" t="str">
        <f t="shared" si="9"/>
        <v>Sr</v>
      </c>
      <c r="AI635" t="s">
        <v>72</v>
      </c>
      <c r="AJ635" s="4">
        <v>121</v>
      </c>
      <c r="AK635" s="1">
        <f>Table1[[#This Row],[avg_salary]]*1000</f>
        <v>121000</v>
      </c>
    </row>
    <row r="636" spans="1:37" x14ac:dyDescent="0.3">
      <c r="A636" s="1">
        <v>810</v>
      </c>
      <c r="B636" s="1" t="s">
        <v>628</v>
      </c>
      <c r="C636" s="1" t="s">
        <v>1070</v>
      </c>
      <c r="D636" s="4">
        <v>53000</v>
      </c>
      <c r="E636" s="4">
        <v>96000</v>
      </c>
      <c r="F636" s="4">
        <v>74500</v>
      </c>
      <c r="G636" s="1" t="s">
        <v>1183</v>
      </c>
      <c r="H636" t="s">
        <v>1183</v>
      </c>
      <c r="I636" s="1" t="s">
        <v>1184</v>
      </c>
      <c r="J636" s="1" t="s">
        <v>780</v>
      </c>
      <c r="K636" s="1" t="s">
        <v>311</v>
      </c>
      <c r="L636" s="1" t="s">
        <v>312</v>
      </c>
      <c r="M636" s="1" t="s">
        <v>39</v>
      </c>
      <c r="N636" s="1" t="s">
        <v>427</v>
      </c>
      <c r="O636" s="1" t="s">
        <v>56</v>
      </c>
      <c r="P636">
        <v>35</v>
      </c>
      <c r="Q636" s="1">
        <v>1</v>
      </c>
      <c r="R636" s="1">
        <v>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 t="s">
        <v>33</v>
      </c>
      <c r="AH636" s="1" t="str">
        <f t="shared" si="9"/>
        <v>Jr</v>
      </c>
      <c r="AI636" t="s">
        <v>34</v>
      </c>
      <c r="AJ636" s="4">
        <v>74.5</v>
      </c>
      <c r="AK636" s="1">
        <f>Table1[[#This Row],[avg_salary]]*1000</f>
        <v>74500</v>
      </c>
    </row>
    <row r="637" spans="1:37" x14ac:dyDescent="0.3">
      <c r="A637" s="1">
        <v>811</v>
      </c>
      <c r="B637" s="1" t="s">
        <v>745</v>
      </c>
      <c r="C637" s="1" t="s">
        <v>868</v>
      </c>
      <c r="D637" s="4">
        <v>61000</v>
      </c>
      <c r="E637" s="4">
        <v>110000</v>
      </c>
      <c r="F637" s="4">
        <v>85500</v>
      </c>
      <c r="G637" s="1" t="s">
        <v>1200</v>
      </c>
      <c r="H637" t="s">
        <v>1439</v>
      </c>
      <c r="I637" s="1" t="s">
        <v>1189</v>
      </c>
      <c r="J637" s="1" t="s">
        <v>780</v>
      </c>
      <c r="K637" s="1" t="s">
        <v>746</v>
      </c>
      <c r="L637" s="1" t="s">
        <v>77</v>
      </c>
      <c r="M637" s="1" t="s">
        <v>54</v>
      </c>
      <c r="N637" s="1" t="s">
        <v>747</v>
      </c>
      <c r="O637" s="1" t="s">
        <v>67</v>
      </c>
      <c r="P637">
        <v>39</v>
      </c>
      <c r="Q637" s="1">
        <v>0</v>
      </c>
      <c r="R637" s="1">
        <v>0</v>
      </c>
      <c r="S637" s="1">
        <v>0</v>
      </c>
      <c r="T637" s="1">
        <v>1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 t="s">
        <v>88</v>
      </c>
      <c r="AH637" s="1" t="str">
        <f t="shared" si="9"/>
        <v>Jr</v>
      </c>
      <c r="AI637" t="s">
        <v>34</v>
      </c>
      <c r="AJ637" s="4">
        <v>85.5</v>
      </c>
      <c r="AK637" s="1">
        <f>Table1[[#This Row],[avg_salary]]*1000</f>
        <v>85500</v>
      </c>
    </row>
    <row r="638" spans="1:37" x14ac:dyDescent="0.3">
      <c r="A638" s="1">
        <v>812</v>
      </c>
      <c r="B638" s="1" t="s">
        <v>629</v>
      </c>
      <c r="C638" s="1" t="s">
        <v>1071</v>
      </c>
      <c r="D638" s="4">
        <v>65000</v>
      </c>
      <c r="E638" s="4">
        <v>96000</v>
      </c>
      <c r="F638" s="4">
        <v>80500</v>
      </c>
      <c r="G638" s="1" t="s">
        <v>1359</v>
      </c>
      <c r="H638" t="s">
        <v>1458</v>
      </c>
      <c r="I638" s="1" t="s">
        <v>1271</v>
      </c>
      <c r="J638" s="1" t="s">
        <v>780</v>
      </c>
      <c r="K638" s="1" t="s">
        <v>157</v>
      </c>
      <c r="L638" s="1" t="s">
        <v>158</v>
      </c>
      <c r="M638" s="1" t="s">
        <v>84</v>
      </c>
      <c r="N638" s="1" t="s">
        <v>519</v>
      </c>
      <c r="O638" s="1" t="s">
        <v>259</v>
      </c>
      <c r="P638">
        <v>54</v>
      </c>
      <c r="Q638" s="1">
        <v>0</v>
      </c>
      <c r="R638" s="1">
        <v>0</v>
      </c>
      <c r="S638" s="1">
        <v>0</v>
      </c>
      <c r="T638" s="1">
        <v>1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 t="s">
        <v>71</v>
      </c>
      <c r="AH638" s="1" t="str">
        <f t="shared" si="9"/>
        <v>Jr</v>
      </c>
      <c r="AI638" t="s">
        <v>34</v>
      </c>
      <c r="AJ638" s="4">
        <v>80.5</v>
      </c>
      <c r="AK638" s="1">
        <f>Table1[[#This Row],[avg_salary]]*1000</f>
        <v>80500</v>
      </c>
    </row>
    <row r="639" spans="1:37" x14ac:dyDescent="0.3">
      <c r="A639" s="1">
        <v>815</v>
      </c>
      <c r="B639" s="1" t="s">
        <v>748</v>
      </c>
      <c r="C639" s="1" t="s">
        <v>1154</v>
      </c>
      <c r="D639" s="4">
        <v>115000</v>
      </c>
      <c r="E639" s="4">
        <v>220000</v>
      </c>
      <c r="F639" s="4">
        <v>167500</v>
      </c>
      <c r="G639" s="1" t="s">
        <v>1195</v>
      </c>
      <c r="H639" t="s">
        <v>1441</v>
      </c>
      <c r="I639" s="1" t="s">
        <v>1196</v>
      </c>
      <c r="J639" s="1" t="s">
        <v>93</v>
      </c>
      <c r="K639" s="1" t="s">
        <v>79</v>
      </c>
      <c r="L639" s="1" t="s">
        <v>43</v>
      </c>
      <c r="M639" s="1" t="s">
        <v>201</v>
      </c>
      <c r="N639" s="1" t="s">
        <v>744</v>
      </c>
      <c r="O639" s="1" t="s">
        <v>91</v>
      </c>
      <c r="P639">
        <v>60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 t="s">
        <v>71</v>
      </c>
      <c r="AH639" s="1" t="str">
        <f t="shared" si="9"/>
        <v>Sr</v>
      </c>
      <c r="AI639" t="s">
        <v>72</v>
      </c>
      <c r="AJ639" s="4">
        <v>167.5</v>
      </c>
      <c r="AK639" s="1">
        <f>Table1[[#This Row],[avg_salary]]*1000</f>
        <v>167500</v>
      </c>
    </row>
    <row r="640" spans="1:37" x14ac:dyDescent="0.3">
      <c r="A640" s="1">
        <v>816</v>
      </c>
      <c r="B640" s="1" t="s">
        <v>749</v>
      </c>
      <c r="C640" s="1" t="s">
        <v>1155</v>
      </c>
      <c r="D640" s="4">
        <v>71000</v>
      </c>
      <c r="E640" s="4">
        <v>144000</v>
      </c>
      <c r="F640" s="4">
        <v>107500</v>
      </c>
      <c r="G640" s="1" t="s">
        <v>1252</v>
      </c>
      <c r="H640" t="s">
        <v>1453</v>
      </c>
      <c r="I640" s="1" t="s">
        <v>1241</v>
      </c>
      <c r="J640" s="1" t="s">
        <v>322</v>
      </c>
      <c r="K640" s="1" t="s">
        <v>323</v>
      </c>
      <c r="L640" s="1" t="s">
        <v>255</v>
      </c>
      <c r="M640" s="1" t="s">
        <v>54</v>
      </c>
      <c r="N640" s="1" t="s">
        <v>324</v>
      </c>
      <c r="O640" s="1" t="s">
        <v>194</v>
      </c>
      <c r="P640">
        <v>49</v>
      </c>
      <c r="Q640" s="1">
        <v>1</v>
      </c>
      <c r="R640" s="1">
        <v>0</v>
      </c>
      <c r="S640" s="1">
        <v>0</v>
      </c>
      <c r="T640" s="1">
        <v>0</v>
      </c>
      <c r="U640" s="1">
        <v>1</v>
      </c>
      <c r="V640" s="1">
        <v>0</v>
      </c>
      <c r="W640" s="1">
        <v>0</v>
      </c>
      <c r="X640" s="1">
        <v>0</v>
      </c>
      <c r="Y640" s="1">
        <v>1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 t="s">
        <v>306</v>
      </c>
      <c r="AH640" s="1" t="str">
        <f t="shared" si="9"/>
        <v>Jr</v>
      </c>
      <c r="AI640" t="s">
        <v>72</v>
      </c>
      <c r="AJ640" s="4">
        <v>107.5</v>
      </c>
      <c r="AK640" s="1">
        <f>Table1[[#This Row],[avg_salary]]*1000</f>
        <v>107500</v>
      </c>
    </row>
    <row r="641" spans="1:37" x14ac:dyDescent="0.3">
      <c r="A641" s="1">
        <v>817</v>
      </c>
      <c r="B641" s="1" t="s">
        <v>750</v>
      </c>
      <c r="C641" s="1" t="s">
        <v>1156</v>
      </c>
      <c r="D641" s="4">
        <v>32000</v>
      </c>
      <c r="E641" s="4">
        <v>57000</v>
      </c>
      <c r="F641" s="4">
        <v>44500</v>
      </c>
      <c r="G641" s="1" t="s">
        <v>1194</v>
      </c>
      <c r="H641" t="s">
        <v>1223</v>
      </c>
      <c r="I641" s="1" t="s">
        <v>1182</v>
      </c>
      <c r="J641" s="1" t="s">
        <v>107</v>
      </c>
      <c r="K641" s="1" t="s">
        <v>438</v>
      </c>
      <c r="L641" s="1" t="s">
        <v>316</v>
      </c>
      <c r="M641" s="1" t="s">
        <v>65</v>
      </c>
      <c r="N641" s="1" t="s">
        <v>751</v>
      </c>
      <c r="O641" s="1" t="s">
        <v>52</v>
      </c>
      <c r="P641">
        <v>33</v>
      </c>
      <c r="Q641" s="1">
        <v>0</v>
      </c>
      <c r="R641" s="1">
        <v>0</v>
      </c>
      <c r="S641" s="1">
        <v>1</v>
      </c>
      <c r="T641" s="1">
        <v>1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 t="s">
        <v>88</v>
      </c>
      <c r="AH641" s="1" t="str">
        <f t="shared" si="9"/>
        <v>Jr</v>
      </c>
      <c r="AI641" t="s">
        <v>34</v>
      </c>
      <c r="AJ641" s="4">
        <v>44.5</v>
      </c>
      <c r="AK641" s="1">
        <f>Table1[[#This Row],[avg_salary]]*1000</f>
        <v>44500</v>
      </c>
    </row>
    <row r="642" spans="1:37" x14ac:dyDescent="0.3">
      <c r="A642" s="1">
        <v>818</v>
      </c>
      <c r="B642" s="1" t="s">
        <v>752</v>
      </c>
      <c r="C642" s="1" t="s">
        <v>1157</v>
      </c>
      <c r="D642" s="4">
        <v>79000</v>
      </c>
      <c r="E642" s="4">
        <v>136000</v>
      </c>
      <c r="F642" s="4">
        <v>107500</v>
      </c>
      <c r="G642" s="1" t="s">
        <v>1401</v>
      </c>
      <c r="H642" t="s">
        <v>1436</v>
      </c>
      <c r="I642" s="1" t="s">
        <v>1178</v>
      </c>
      <c r="J642" s="1" t="s">
        <v>780</v>
      </c>
      <c r="K642" s="1" t="s">
        <v>37</v>
      </c>
      <c r="L642" s="1" t="s">
        <v>38</v>
      </c>
      <c r="M642" s="1" t="s">
        <v>50</v>
      </c>
      <c r="N642" s="1" t="s">
        <v>753</v>
      </c>
      <c r="O642" s="1" t="s">
        <v>41</v>
      </c>
      <c r="P642">
        <v>56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 t="s">
        <v>88</v>
      </c>
      <c r="AH642" s="1" t="str">
        <f t="shared" ref="AH642:AH705" si="10">IF(VALUE(AJ642) &gt;= 114, "Sr", "Jr")</f>
        <v>Jr</v>
      </c>
      <c r="AI642" t="s">
        <v>34</v>
      </c>
      <c r="AJ642" s="4">
        <v>107.5</v>
      </c>
      <c r="AK642" s="1">
        <f>Table1[[#This Row],[avg_salary]]*1000</f>
        <v>107500</v>
      </c>
    </row>
    <row r="643" spans="1:37" x14ac:dyDescent="0.3">
      <c r="A643" s="1">
        <v>819</v>
      </c>
      <c r="B643" s="1" t="s">
        <v>754</v>
      </c>
      <c r="C643" s="1" t="s">
        <v>1416</v>
      </c>
      <c r="D643" s="4">
        <v>120000</v>
      </c>
      <c r="E643" s="4">
        <v>145000</v>
      </c>
      <c r="F643" s="4">
        <v>132500</v>
      </c>
      <c r="G643" s="1" t="s">
        <v>1195</v>
      </c>
      <c r="H643" t="s">
        <v>1441</v>
      </c>
      <c r="I643" s="1" t="s">
        <v>1196</v>
      </c>
      <c r="J643" s="1" t="s">
        <v>780</v>
      </c>
      <c r="K643" s="1" t="s">
        <v>89</v>
      </c>
      <c r="L643" s="1" t="s">
        <v>74</v>
      </c>
      <c r="M643" s="1" t="s">
        <v>54</v>
      </c>
      <c r="N643" s="1" t="s">
        <v>563</v>
      </c>
      <c r="O643" s="1" t="s">
        <v>91</v>
      </c>
      <c r="P643">
        <v>20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 t="s">
        <v>71</v>
      </c>
      <c r="AH643" s="1" t="str">
        <f t="shared" si="10"/>
        <v>Sr</v>
      </c>
      <c r="AI643" t="s">
        <v>72</v>
      </c>
      <c r="AJ643" s="4">
        <v>132.5</v>
      </c>
      <c r="AK643" s="1">
        <f>Table1[[#This Row],[avg_salary]]*1000</f>
        <v>132500</v>
      </c>
    </row>
    <row r="644" spans="1:37" x14ac:dyDescent="0.3">
      <c r="A644" s="1">
        <v>820</v>
      </c>
      <c r="B644" s="1" t="s">
        <v>490</v>
      </c>
      <c r="C644" s="1" t="s">
        <v>1107</v>
      </c>
      <c r="D644" s="4">
        <v>50000</v>
      </c>
      <c r="E644" s="4">
        <v>89000</v>
      </c>
      <c r="F644" s="4">
        <v>69500</v>
      </c>
      <c r="G644" s="1" t="s">
        <v>1245</v>
      </c>
      <c r="H644" t="s">
        <v>1453</v>
      </c>
      <c r="I644" s="1" t="s">
        <v>1241</v>
      </c>
      <c r="J644" s="1" t="s">
        <v>780</v>
      </c>
      <c r="K644" s="1" t="s">
        <v>37</v>
      </c>
      <c r="L644" s="1" t="s">
        <v>38</v>
      </c>
      <c r="M644" s="1" t="s">
        <v>50</v>
      </c>
      <c r="N644" s="1" t="s">
        <v>755</v>
      </c>
      <c r="O644" s="1" t="s">
        <v>194</v>
      </c>
      <c r="P644">
        <v>20</v>
      </c>
      <c r="Q644" s="1">
        <v>0</v>
      </c>
      <c r="R644" s="1">
        <v>0</v>
      </c>
      <c r="S644" s="1">
        <v>0</v>
      </c>
      <c r="T644" s="1">
        <v>1</v>
      </c>
      <c r="U644" s="1">
        <v>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1</v>
      </c>
      <c r="AC644" s="1">
        <v>1</v>
      </c>
      <c r="AD644" s="1">
        <v>0</v>
      </c>
      <c r="AE644" s="1">
        <v>0</v>
      </c>
      <c r="AF644" s="1">
        <v>0</v>
      </c>
      <c r="AG644" s="1" t="s">
        <v>88</v>
      </c>
      <c r="AH644" s="1" t="str">
        <f t="shared" si="10"/>
        <v>Jr</v>
      </c>
      <c r="AI644" t="s">
        <v>34</v>
      </c>
      <c r="AJ644" s="4">
        <v>69.5</v>
      </c>
      <c r="AK644" s="1">
        <f>Table1[[#This Row],[avg_salary]]*1000</f>
        <v>69500</v>
      </c>
    </row>
    <row r="645" spans="1:37" x14ac:dyDescent="0.3">
      <c r="A645" s="1">
        <v>821</v>
      </c>
      <c r="B645" s="1" t="s">
        <v>756</v>
      </c>
      <c r="C645" s="1" t="s">
        <v>819</v>
      </c>
      <c r="D645" s="4">
        <v>68000</v>
      </c>
      <c r="E645" s="4">
        <v>129000</v>
      </c>
      <c r="F645" s="4">
        <v>98500</v>
      </c>
      <c r="G645" s="1" t="s">
        <v>1402</v>
      </c>
      <c r="H645" t="s">
        <v>1439</v>
      </c>
      <c r="I645" s="1" t="s">
        <v>1189</v>
      </c>
      <c r="J645" s="1" t="s">
        <v>781</v>
      </c>
      <c r="K645" s="1" t="s">
        <v>145</v>
      </c>
      <c r="L645" s="1" t="s">
        <v>74</v>
      </c>
      <c r="M645" s="1" t="s">
        <v>84</v>
      </c>
      <c r="N645" s="1" t="s">
        <v>345</v>
      </c>
      <c r="O645" s="1" t="s">
        <v>67</v>
      </c>
      <c r="P645">
        <v>33</v>
      </c>
      <c r="Q645" s="1">
        <v>1</v>
      </c>
      <c r="R645" s="1">
        <v>1</v>
      </c>
      <c r="S645" s="1">
        <v>1</v>
      </c>
      <c r="T645" s="1">
        <v>0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1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t="s">
        <v>150</v>
      </c>
      <c r="AH645" s="1" t="str">
        <f t="shared" si="10"/>
        <v>Jr</v>
      </c>
      <c r="AI645" t="s">
        <v>72</v>
      </c>
      <c r="AJ645" s="4">
        <v>98.5</v>
      </c>
      <c r="AK645" s="1">
        <f>Table1[[#This Row],[avg_salary]]*1000</f>
        <v>98500</v>
      </c>
    </row>
    <row r="646" spans="1:37" x14ac:dyDescent="0.3">
      <c r="A646" s="1">
        <v>822</v>
      </c>
      <c r="B646" s="1" t="s">
        <v>757</v>
      </c>
      <c r="C646" s="1" t="s">
        <v>1158</v>
      </c>
      <c r="D646" s="4">
        <v>48000</v>
      </c>
      <c r="E646" s="4">
        <v>113000</v>
      </c>
      <c r="F646" s="4">
        <v>80500</v>
      </c>
      <c r="G646" s="1" t="s">
        <v>1279</v>
      </c>
      <c r="H646" t="s">
        <v>1436</v>
      </c>
      <c r="I646" s="1" t="s">
        <v>1178</v>
      </c>
      <c r="J646" s="1" t="s">
        <v>780</v>
      </c>
      <c r="K646" s="1" t="s">
        <v>89</v>
      </c>
      <c r="L646" s="1" t="s">
        <v>89</v>
      </c>
      <c r="M646" s="1" t="s">
        <v>65</v>
      </c>
      <c r="N646" s="1" t="s">
        <v>419</v>
      </c>
      <c r="O646" s="1" t="s">
        <v>41</v>
      </c>
      <c r="P646">
        <v>19</v>
      </c>
      <c r="Q646" s="1">
        <v>0</v>
      </c>
      <c r="R646" s="1">
        <v>0</v>
      </c>
      <c r="S646" s="1">
        <v>0</v>
      </c>
      <c r="T646" s="1">
        <v>1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 t="s">
        <v>71</v>
      </c>
      <c r="AH646" s="1" t="str">
        <f t="shared" si="10"/>
        <v>Jr</v>
      </c>
      <c r="AI646" t="s">
        <v>34</v>
      </c>
      <c r="AJ646" s="4">
        <v>80.5</v>
      </c>
      <c r="AK646" s="1">
        <f>Table1[[#This Row],[avg_salary]]*1000</f>
        <v>80500</v>
      </c>
    </row>
    <row r="647" spans="1:37" x14ac:dyDescent="0.3">
      <c r="A647" s="1">
        <v>823</v>
      </c>
      <c r="B647" s="1" t="s">
        <v>758</v>
      </c>
      <c r="C647" s="1" t="s">
        <v>1430</v>
      </c>
      <c r="D647" s="4">
        <v>56000</v>
      </c>
      <c r="E647" s="4">
        <v>97000</v>
      </c>
      <c r="F647" s="4">
        <v>76500</v>
      </c>
      <c r="G647" s="1" t="s">
        <v>1403</v>
      </c>
      <c r="H647" t="s">
        <v>1441</v>
      </c>
      <c r="I647" s="1" t="s">
        <v>1196</v>
      </c>
      <c r="J647" s="1" t="s">
        <v>780</v>
      </c>
      <c r="K647" s="1" t="s">
        <v>89</v>
      </c>
      <c r="L647" s="1" t="s">
        <v>89</v>
      </c>
      <c r="M647" s="1" t="s">
        <v>121</v>
      </c>
      <c r="N647" s="1" t="s">
        <v>759</v>
      </c>
      <c r="O647" s="1" t="s">
        <v>91</v>
      </c>
      <c r="P647">
        <v>28</v>
      </c>
      <c r="Q647" s="1">
        <v>0</v>
      </c>
      <c r="R647" s="1">
        <v>0</v>
      </c>
      <c r="S647" s="1">
        <v>0</v>
      </c>
      <c r="T647" s="1">
        <v>1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 t="s">
        <v>71</v>
      </c>
      <c r="AH647" s="1" t="str">
        <f t="shared" si="10"/>
        <v>Jr</v>
      </c>
      <c r="AI647" t="s">
        <v>34</v>
      </c>
      <c r="AJ647" s="4">
        <v>76.5</v>
      </c>
      <c r="AK647" s="1">
        <f>Table1[[#This Row],[avg_salary]]*1000</f>
        <v>76500</v>
      </c>
    </row>
    <row r="648" spans="1:37" x14ac:dyDescent="0.3">
      <c r="A648" s="1">
        <v>824</v>
      </c>
      <c r="B648" s="1" t="s">
        <v>760</v>
      </c>
      <c r="C648" s="1" t="s">
        <v>864</v>
      </c>
      <c r="D648" s="4">
        <v>74000</v>
      </c>
      <c r="E648" s="4">
        <v>124000</v>
      </c>
      <c r="F648" s="4">
        <v>99000</v>
      </c>
      <c r="G648" s="1" t="s">
        <v>1195</v>
      </c>
      <c r="H648" t="s">
        <v>1436</v>
      </c>
      <c r="I648" s="1" t="s">
        <v>1178</v>
      </c>
      <c r="J648" s="1" t="s">
        <v>781</v>
      </c>
      <c r="K648" s="1" t="s">
        <v>29</v>
      </c>
      <c r="L648" s="1" t="s">
        <v>29</v>
      </c>
      <c r="M648" s="1" t="s">
        <v>84</v>
      </c>
      <c r="N648" s="1" t="s">
        <v>620</v>
      </c>
      <c r="O648" s="1" t="s">
        <v>41</v>
      </c>
      <c r="P648">
        <v>20</v>
      </c>
      <c r="Q648" s="1">
        <v>1</v>
      </c>
      <c r="R648" s="1">
        <v>0</v>
      </c>
      <c r="S648" s="1">
        <v>0</v>
      </c>
      <c r="T648" s="1">
        <v>0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 t="s">
        <v>71</v>
      </c>
      <c r="AH648" s="1" t="str">
        <f t="shared" si="10"/>
        <v>Jr</v>
      </c>
      <c r="AI648" t="s">
        <v>72</v>
      </c>
      <c r="AJ648" s="4">
        <v>99</v>
      </c>
      <c r="AK648" s="1">
        <f>Table1[[#This Row],[avg_salary]]*1000</f>
        <v>99000</v>
      </c>
    </row>
    <row r="649" spans="1:37" x14ac:dyDescent="0.3">
      <c r="A649" s="1">
        <v>825</v>
      </c>
      <c r="B649" s="1" t="s">
        <v>761</v>
      </c>
      <c r="C649" s="1" t="s">
        <v>1159</v>
      </c>
      <c r="D649" s="4">
        <v>68000</v>
      </c>
      <c r="E649" s="4">
        <v>125000</v>
      </c>
      <c r="F649" s="4">
        <v>96500</v>
      </c>
      <c r="G649" s="1" t="s">
        <v>1195</v>
      </c>
      <c r="H649" t="s">
        <v>1441</v>
      </c>
      <c r="I649" s="1" t="s">
        <v>1196</v>
      </c>
      <c r="J649" s="1" t="s">
        <v>781</v>
      </c>
      <c r="K649" s="1" t="s">
        <v>89</v>
      </c>
      <c r="L649" s="1" t="s">
        <v>89</v>
      </c>
      <c r="M649" s="1" t="s">
        <v>30</v>
      </c>
      <c r="N649" s="1" t="s">
        <v>589</v>
      </c>
      <c r="O649" s="1" t="s">
        <v>91</v>
      </c>
      <c r="P649">
        <v>53</v>
      </c>
      <c r="Q649" s="1">
        <v>0</v>
      </c>
      <c r="R649" s="1">
        <v>0</v>
      </c>
      <c r="S649" s="1">
        <v>0</v>
      </c>
      <c r="T649" s="1">
        <v>1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 t="s">
        <v>295</v>
      </c>
      <c r="AH649" s="1" t="str">
        <f t="shared" si="10"/>
        <v>Jr</v>
      </c>
      <c r="AI649" t="s">
        <v>72</v>
      </c>
      <c r="AJ649" s="4">
        <v>96.5</v>
      </c>
      <c r="AK649" s="1">
        <f>Table1[[#This Row],[avg_salary]]*1000</f>
        <v>96500</v>
      </c>
    </row>
    <row r="650" spans="1:37" x14ac:dyDescent="0.3">
      <c r="A650" s="1">
        <v>826</v>
      </c>
      <c r="B650" s="1" t="s">
        <v>762</v>
      </c>
      <c r="C650" s="1" t="s">
        <v>1160</v>
      </c>
      <c r="D650" s="4">
        <v>39000</v>
      </c>
      <c r="E650" s="4">
        <v>67000</v>
      </c>
      <c r="F650" s="4">
        <v>53000</v>
      </c>
      <c r="G650" s="1" t="s">
        <v>1231</v>
      </c>
      <c r="H650" t="s">
        <v>1441</v>
      </c>
      <c r="I650" s="1" t="s">
        <v>1196</v>
      </c>
      <c r="J650" s="1" t="s">
        <v>780</v>
      </c>
      <c r="K650" s="1" t="s">
        <v>108</v>
      </c>
      <c r="L650" s="1" t="s">
        <v>109</v>
      </c>
      <c r="M650" s="1" t="s">
        <v>84</v>
      </c>
      <c r="N650" s="1" t="s">
        <v>174</v>
      </c>
      <c r="O650" s="1" t="s">
        <v>91</v>
      </c>
      <c r="P650">
        <v>56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 t="s">
        <v>33</v>
      </c>
      <c r="AH650" s="1" t="str">
        <f t="shared" si="10"/>
        <v>Jr</v>
      </c>
      <c r="AI650" t="s">
        <v>34</v>
      </c>
      <c r="AJ650" s="4">
        <v>53</v>
      </c>
      <c r="AK650" s="1">
        <f>Table1[[#This Row],[avg_salary]]*1000</f>
        <v>53000</v>
      </c>
    </row>
    <row r="651" spans="1:37" x14ac:dyDescent="0.3">
      <c r="A651" s="1">
        <v>827</v>
      </c>
      <c r="B651" s="1" t="s">
        <v>763</v>
      </c>
      <c r="C651" s="1" t="s">
        <v>1161</v>
      </c>
      <c r="D651" s="4">
        <v>71000</v>
      </c>
      <c r="E651" s="4">
        <v>135000</v>
      </c>
      <c r="F651" s="4">
        <v>103000</v>
      </c>
      <c r="G651" s="1" t="s">
        <v>1282</v>
      </c>
      <c r="H651" t="s">
        <v>1439</v>
      </c>
      <c r="I651" s="1" t="s">
        <v>1189</v>
      </c>
      <c r="J651" s="1" t="s">
        <v>780</v>
      </c>
      <c r="K651" s="1" t="s">
        <v>103</v>
      </c>
      <c r="L651" s="1" t="s">
        <v>74</v>
      </c>
      <c r="M651" s="1" t="s">
        <v>54</v>
      </c>
      <c r="N651" s="1" t="s">
        <v>764</v>
      </c>
      <c r="O651" s="1" t="s">
        <v>67</v>
      </c>
      <c r="P651">
        <v>51</v>
      </c>
      <c r="Q651" s="1">
        <v>0</v>
      </c>
      <c r="R651" s="1">
        <v>1</v>
      </c>
      <c r="S651" s="1">
        <v>1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1</v>
      </c>
      <c r="AB651" s="1">
        <v>0</v>
      </c>
      <c r="AC651" s="1">
        <v>0</v>
      </c>
      <c r="AD651" s="1">
        <v>1</v>
      </c>
      <c r="AE651" s="1">
        <v>0</v>
      </c>
      <c r="AF651" s="1">
        <v>0</v>
      </c>
      <c r="AG651" s="1" t="s">
        <v>98</v>
      </c>
      <c r="AH651" s="1" t="str">
        <f t="shared" si="10"/>
        <v>Jr</v>
      </c>
      <c r="AI651" t="s">
        <v>72</v>
      </c>
      <c r="AJ651" s="4">
        <v>103</v>
      </c>
      <c r="AK651" s="1">
        <f>Table1[[#This Row],[avg_salary]]*1000</f>
        <v>103000</v>
      </c>
    </row>
    <row r="652" spans="1:37" x14ac:dyDescent="0.3">
      <c r="A652" s="1">
        <v>828</v>
      </c>
      <c r="B652" s="1" t="s">
        <v>187</v>
      </c>
      <c r="C652" s="1" t="s">
        <v>833</v>
      </c>
      <c r="D652" s="4">
        <v>107000</v>
      </c>
      <c r="E652" s="4">
        <v>172000</v>
      </c>
      <c r="F652" s="4">
        <v>139500</v>
      </c>
      <c r="G652" s="1" t="s">
        <v>1239</v>
      </c>
      <c r="H652" t="s">
        <v>1439</v>
      </c>
      <c r="I652" s="1" t="s">
        <v>1189</v>
      </c>
      <c r="J652" s="1" t="s">
        <v>781</v>
      </c>
      <c r="K652" s="1" t="s">
        <v>188</v>
      </c>
      <c r="L652" s="1" t="s">
        <v>62</v>
      </c>
      <c r="M652" s="1" t="s">
        <v>30</v>
      </c>
      <c r="N652" s="1" t="s">
        <v>189</v>
      </c>
      <c r="O652" s="1" t="s">
        <v>67</v>
      </c>
      <c r="P652">
        <v>21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 t="s">
        <v>33</v>
      </c>
      <c r="AH652" s="1" t="str">
        <f t="shared" si="10"/>
        <v>Sr</v>
      </c>
      <c r="AI652" t="s">
        <v>34</v>
      </c>
      <c r="AJ652" s="4">
        <v>139.5</v>
      </c>
      <c r="AK652" s="1">
        <f>Table1[[#This Row],[avg_salary]]*1000</f>
        <v>139500</v>
      </c>
    </row>
    <row r="653" spans="1:37" x14ac:dyDescent="0.3">
      <c r="A653" s="1">
        <v>829</v>
      </c>
      <c r="B653" s="1" t="s">
        <v>190</v>
      </c>
      <c r="C653" s="1" t="s">
        <v>834</v>
      </c>
      <c r="D653" s="4">
        <v>49000</v>
      </c>
      <c r="E653" s="4">
        <v>85000</v>
      </c>
      <c r="F653" s="4">
        <v>67000</v>
      </c>
      <c r="G653" s="1" t="s">
        <v>1181</v>
      </c>
      <c r="H653" t="s">
        <v>1223</v>
      </c>
      <c r="I653" s="1" t="s">
        <v>1182</v>
      </c>
      <c r="J653" s="1" t="s">
        <v>47</v>
      </c>
      <c r="K653" s="1" t="s">
        <v>48</v>
      </c>
      <c r="L653" s="1" t="s">
        <v>49</v>
      </c>
      <c r="M653" s="1" t="s">
        <v>50</v>
      </c>
      <c r="N653" s="1" t="s">
        <v>191</v>
      </c>
      <c r="O653" s="1" t="s">
        <v>52</v>
      </c>
      <c r="P653">
        <v>26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</v>
      </c>
      <c r="Y653" s="1">
        <v>0</v>
      </c>
      <c r="Z653" s="1">
        <v>1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 t="s">
        <v>33</v>
      </c>
      <c r="AH653" s="1" t="str">
        <f t="shared" si="10"/>
        <v>Jr</v>
      </c>
      <c r="AI653" t="s">
        <v>34</v>
      </c>
      <c r="AJ653" s="4">
        <v>67</v>
      </c>
      <c r="AK653" s="1">
        <f>Table1[[#This Row],[avg_salary]]*1000</f>
        <v>67000</v>
      </c>
    </row>
    <row r="654" spans="1:37" x14ac:dyDescent="0.3">
      <c r="A654" s="1">
        <v>830</v>
      </c>
      <c r="B654" s="1" t="s">
        <v>521</v>
      </c>
      <c r="C654" s="1" t="s">
        <v>1015</v>
      </c>
      <c r="D654" s="4">
        <v>54000</v>
      </c>
      <c r="E654" s="4">
        <v>71000</v>
      </c>
      <c r="F654" s="4">
        <v>62500</v>
      </c>
      <c r="G654" s="1" t="s">
        <v>1352</v>
      </c>
      <c r="H654" t="s">
        <v>1447</v>
      </c>
      <c r="I654" s="1" t="s">
        <v>1212</v>
      </c>
      <c r="J654" s="1" t="s">
        <v>781</v>
      </c>
      <c r="K654" s="1" t="s">
        <v>143</v>
      </c>
      <c r="L654" s="1" t="s">
        <v>74</v>
      </c>
      <c r="M654" s="1" t="s">
        <v>84</v>
      </c>
      <c r="N654" s="1" t="s">
        <v>522</v>
      </c>
      <c r="O654" s="1" t="s">
        <v>133</v>
      </c>
      <c r="P654">
        <v>38</v>
      </c>
      <c r="Q654" s="1">
        <v>0</v>
      </c>
      <c r="R654" s="1">
        <v>0</v>
      </c>
      <c r="S654" s="1">
        <v>0</v>
      </c>
      <c r="T654" s="1">
        <v>1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 t="s">
        <v>208</v>
      </c>
      <c r="AH654" s="1" t="str">
        <f t="shared" si="10"/>
        <v>Jr</v>
      </c>
      <c r="AI654" t="s">
        <v>34</v>
      </c>
      <c r="AJ654" s="4">
        <v>62.5</v>
      </c>
      <c r="AK654" s="1">
        <f>Table1[[#This Row],[avg_salary]]*1000</f>
        <v>62500</v>
      </c>
    </row>
    <row r="655" spans="1:37" x14ac:dyDescent="0.3">
      <c r="A655" s="1">
        <v>831</v>
      </c>
      <c r="B655" s="1" t="s">
        <v>765</v>
      </c>
      <c r="C655" s="1" t="s">
        <v>1162</v>
      </c>
      <c r="D655" s="4">
        <v>61000</v>
      </c>
      <c r="E655" s="4">
        <v>123000</v>
      </c>
      <c r="F655" s="4">
        <v>92000</v>
      </c>
      <c r="G655" s="1" t="s">
        <v>1386</v>
      </c>
      <c r="H655" t="s">
        <v>1436</v>
      </c>
      <c r="I655" s="1" t="s">
        <v>1178</v>
      </c>
      <c r="J655" s="1" t="s">
        <v>781</v>
      </c>
      <c r="K655" s="1" t="s">
        <v>89</v>
      </c>
      <c r="L655" s="1" t="s">
        <v>89</v>
      </c>
      <c r="M655" s="1" t="s">
        <v>84</v>
      </c>
      <c r="N655" s="1" t="s">
        <v>536</v>
      </c>
      <c r="O655" s="1" t="s">
        <v>41</v>
      </c>
      <c r="P655">
        <v>30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 t="s">
        <v>71</v>
      </c>
      <c r="AH655" s="1" t="str">
        <f t="shared" si="10"/>
        <v>Jr</v>
      </c>
      <c r="AI655" t="s">
        <v>72</v>
      </c>
      <c r="AJ655" s="4">
        <v>92</v>
      </c>
      <c r="AK655" s="1">
        <f>Table1[[#This Row],[avg_salary]]*1000</f>
        <v>92000</v>
      </c>
    </row>
    <row r="656" spans="1:37" x14ac:dyDescent="0.3">
      <c r="A656" s="1">
        <v>832</v>
      </c>
      <c r="B656" s="1" t="s">
        <v>86</v>
      </c>
      <c r="C656" s="1" t="s">
        <v>1098</v>
      </c>
      <c r="D656" s="4">
        <v>47000</v>
      </c>
      <c r="E656" s="4">
        <v>85000</v>
      </c>
      <c r="F656" s="4">
        <v>66000</v>
      </c>
      <c r="G656" s="1" t="s">
        <v>1183</v>
      </c>
      <c r="H656" t="s">
        <v>1183</v>
      </c>
      <c r="I656" s="1" t="s">
        <v>1184</v>
      </c>
      <c r="J656" s="1" t="s">
        <v>780</v>
      </c>
      <c r="K656" s="1" t="s">
        <v>37</v>
      </c>
      <c r="L656" s="1" t="s">
        <v>38</v>
      </c>
      <c r="M656" s="1" t="s">
        <v>121</v>
      </c>
      <c r="N656" s="1" t="s">
        <v>668</v>
      </c>
      <c r="O656" s="1" t="s">
        <v>56</v>
      </c>
      <c r="P656">
        <v>45</v>
      </c>
      <c r="Q656" s="1">
        <v>0</v>
      </c>
      <c r="R656" s="1">
        <v>0</v>
      </c>
      <c r="S656" s="1">
        <v>0</v>
      </c>
      <c r="T656" s="1">
        <v>1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 t="s">
        <v>88</v>
      </c>
      <c r="AH656" s="1" t="str">
        <f t="shared" si="10"/>
        <v>Jr</v>
      </c>
      <c r="AI656" t="s">
        <v>34</v>
      </c>
      <c r="AJ656" s="4">
        <v>66</v>
      </c>
      <c r="AK656" s="1">
        <f>Table1[[#This Row],[avg_salary]]*1000</f>
        <v>66000</v>
      </c>
    </row>
    <row r="657" spans="1:37" x14ac:dyDescent="0.3">
      <c r="A657" s="1">
        <v>836</v>
      </c>
      <c r="B657" s="1" t="s">
        <v>150</v>
      </c>
      <c r="C657" s="1" t="s">
        <v>1016</v>
      </c>
      <c r="D657" s="4">
        <v>65000</v>
      </c>
      <c r="E657" s="4">
        <v>124000</v>
      </c>
      <c r="F657" s="4">
        <v>94500</v>
      </c>
      <c r="G657" s="1" t="s">
        <v>1353</v>
      </c>
      <c r="H657" t="s">
        <v>1439</v>
      </c>
      <c r="I657" s="1" t="s">
        <v>1189</v>
      </c>
      <c r="J657" s="1" t="s">
        <v>780</v>
      </c>
      <c r="K657" s="1" t="s">
        <v>37</v>
      </c>
      <c r="L657" s="1" t="s">
        <v>38</v>
      </c>
      <c r="M657" s="1" t="s">
        <v>54</v>
      </c>
      <c r="N657" s="1" t="s">
        <v>523</v>
      </c>
      <c r="O657" s="1" t="s">
        <v>67</v>
      </c>
      <c r="P657">
        <v>59</v>
      </c>
      <c r="Q657" s="1">
        <v>1</v>
      </c>
      <c r="R657" s="1">
        <v>1</v>
      </c>
      <c r="S657" s="1">
        <v>1</v>
      </c>
      <c r="T657" s="1">
        <v>1</v>
      </c>
      <c r="U657" s="1">
        <v>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1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 t="s">
        <v>98</v>
      </c>
      <c r="AH657" s="1" t="str">
        <f t="shared" si="10"/>
        <v>Jr</v>
      </c>
      <c r="AI657" t="s">
        <v>34</v>
      </c>
      <c r="AJ657" s="4">
        <v>94.5</v>
      </c>
      <c r="AK657" s="1">
        <f>Table1[[#This Row],[avg_salary]]*1000</f>
        <v>94500</v>
      </c>
    </row>
    <row r="658" spans="1:37" x14ac:dyDescent="0.3">
      <c r="A658" s="1">
        <v>837</v>
      </c>
      <c r="B658" s="1" t="s">
        <v>28</v>
      </c>
      <c r="C658" s="1" t="s">
        <v>1163</v>
      </c>
      <c r="D658" s="4">
        <v>87000</v>
      </c>
      <c r="E658" s="4">
        <v>141000</v>
      </c>
      <c r="F658" s="4">
        <v>114000</v>
      </c>
      <c r="G658" s="1" t="s">
        <v>1373</v>
      </c>
      <c r="H658" t="s">
        <v>1442</v>
      </c>
      <c r="I658" s="1" t="s">
        <v>1198</v>
      </c>
      <c r="J658" s="1" t="s">
        <v>780</v>
      </c>
      <c r="K658" s="1" t="s">
        <v>53</v>
      </c>
      <c r="L658" s="1" t="s">
        <v>43</v>
      </c>
      <c r="M658" s="1" t="s">
        <v>54</v>
      </c>
      <c r="N658" s="1" t="s">
        <v>624</v>
      </c>
      <c r="O658" s="1" t="s">
        <v>97</v>
      </c>
      <c r="P658">
        <v>24</v>
      </c>
      <c r="Q658" s="1">
        <v>1</v>
      </c>
      <c r="R658" s="1">
        <v>0</v>
      </c>
      <c r="S658" s="1">
        <v>1</v>
      </c>
      <c r="T658" s="1">
        <v>1</v>
      </c>
      <c r="U658" s="1">
        <v>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1</v>
      </c>
      <c r="AB658" s="1">
        <v>1</v>
      </c>
      <c r="AC658" s="1">
        <v>1</v>
      </c>
      <c r="AD658" s="1">
        <v>0</v>
      </c>
      <c r="AE658" s="1">
        <v>0</v>
      </c>
      <c r="AF658" s="1">
        <v>0</v>
      </c>
      <c r="AG658" s="1" t="s">
        <v>33</v>
      </c>
      <c r="AH658" s="1" t="str">
        <f t="shared" si="10"/>
        <v>Sr</v>
      </c>
      <c r="AI658" t="s">
        <v>34</v>
      </c>
      <c r="AJ658" s="4">
        <v>114</v>
      </c>
      <c r="AK658" s="1">
        <f>Table1[[#This Row],[avg_salary]]*1000</f>
        <v>114000</v>
      </c>
    </row>
    <row r="659" spans="1:37" x14ac:dyDescent="0.3">
      <c r="A659" s="1">
        <v>838</v>
      </c>
      <c r="B659" s="1" t="s">
        <v>28</v>
      </c>
      <c r="C659" s="1" t="s">
        <v>829</v>
      </c>
      <c r="D659" s="4">
        <v>56000</v>
      </c>
      <c r="E659" s="4">
        <v>95000</v>
      </c>
      <c r="F659" s="4">
        <v>75500</v>
      </c>
      <c r="G659" s="1" t="s">
        <v>1183</v>
      </c>
      <c r="H659" t="s">
        <v>1183</v>
      </c>
      <c r="I659" s="1" t="s">
        <v>1184</v>
      </c>
      <c r="J659" s="1" t="s">
        <v>780</v>
      </c>
      <c r="K659" s="1" t="s">
        <v>254</v>
      </c>
      <c r="L659" s="1" t="s">
        <v>255</v>
      </c>
      <c r="M659" s="1" t="s">
        <v>54</v>
      </c>
      <c r="N659" s="1" t="s">
        <v>669</v>
      </c>
      <c r="O659" s="1" t="s">
        <v>56</v>
      </c>
      <c r="P659">
        <v>41</v>
      </c>
      <c r="Q659" s="1">
        <v>1</v>
      </c>
      <c r="R659" s="1">
        <v>0</v>
      </c>
      <c r="S659" s="1">
        <v>1</v>
      </c>
      <c r="T659" s="1">
        <v>0</v>
      </c>
      <c r="U659" s="1">
        <v>1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  <c r="AB659" s="1">
        <v>1</v>
      </c>
      <c r="AC659" s="1">
        <v>0</v>
      </c>
      <c r="AD659" s="1">
        <v>0</v>
      </c>
      <c r="AE659" s="1">
        <v>0</v>
      </c>
      <c r="AF659" s="1">
        <v>0</v>
      </c>
      <c r="AG659" s="1" t="s">
        <v>33</v>
      </c>
      <c r="AH659" s="1" t="str">
        <f t="shared" si="10"/>
        <v>Jr</v>
      </c>
      <c r="AI659" t="s">
        <v>34</v>
      </c>
      <c r="AJ659" s="4">
        <v>75.5</v>
      </c>
      <c r="AK659" s="1">
        <f>Table1[[#This Row],[avg_salary]]*1000</f>
        <v>75500</v>
      </c>
    </row>
    <row r="660" spans="1:37" x14ac:dyDescent="0.3">
      <c r="A660" s="1">
        <v>839</v>
      </c>
      <c r="B660" s="1" t="s">
        <v>28</v>
      </c>
      <c r="C660" s="1" t="s">
        <v>1164</v>
      </c>
      <c r="D660" s="4">
        <v>71000</v>
      </c>
      <c r="E660" s="4">
        <v>121000</v>
      </c>
      <c r="F660" s="4">
        <v>96000</v>
      </c>
      <c r="G660" s="1" t="s">
        <v>1250</v>
      </c>
      <c r="H660" t="s">
        <v>1452</v>
      </c>
      <c r="I660" s="1" t="s">
        <v>1237</v>
      </c>
      <c r="J660" s="1" t="s">
        <v>666</v>
      </c>
      <c r="K660" s="1" t="s">
        <v>1481</v>
      </c>
      <c r="L660" s="1" t="s">
        <v>255</v>
      </c>
      <c r="M660" s="1" t="s">
        <v>201</v>
      </c>
      <c r="N660" s="1" t="s">
        <v>766</v>
      </c>
      <c r="O660" s="1" t="s">
        <v>182</v>
      </c>
      <c r="P660">
        <v>40</v>
      </c>
      <c r="Q660" s="1">
        <v>0</v>
      </c>
      <c r="R660" s="1">
        <v>0</v>
      </c>
      <c r="S660" s="1">
        <v>0</v>
      </c>
      <c r="T660" s="1">
        <v>1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1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 t="s">
        <v>33</v>
      </c>
      <c r="AH660" s="1" t="str">
        <f t="shared" si="10"/>
        <v>Jr</v>
      </c>
      <c r="AI660" t="s">
        <v>72</v>
      </c>
      <c r="AJ660" s="4">
        <v>96</v>
      </c>
      <c r="AK660" s="1">
        <f>Table1[[#This Row],[avg_salary]]*1000</f>
        <v>96000</v>
      </c>
    </row>
    <row r="661" spans="1:37" x14ac:dyDescent="0.3">
      <c r="A661" s="1">
        <v>840</v>
      </c>
      <c r="B661" s="1" t="s">
        <v>304</v>
      </c>
      <c r="C661" s="1" t="s">
        <v>1099</v>
      </c>
      <c r="D661" s="4">
        <v>62000</v>
      </c>
      <c r="E661" s="4">
        <v>112000</v>
      </c>
      <c r="F661" s="4">
        <v>87000</v>
      </c>
      <c r="G661" s="1" t="s">
        <v>1264</v>
      </c>
      <c r="H661" t="s">
        <v>1440</v>
      </c>
      <c r="I661" s="1" t="s">
        <v>1192</v>
      </c>
      <c r="J661" s="1" t="s">
        <v>781</v>
      </c>
      <c r="K661" s="1" t="s">
        <v>29</v>
      </c>
      <c r="L661" s="1" t="s">
        <v>29</v>
      </c>
      <c r="M661" s="1" t="s">
        <v>44</v>
      </c>
      <c r="N661" s="1" t="s">
        <v>670</v>
      </c>
      <c r="O661" s="1" t="s">
        <v>81</v>
      </c>
      <c r="P661">
        <v>36</v>
      </c>
      <c r="Q661" s="1">
        <v>1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 t="s">
        <v>306</v>
      </c>
      <c r="AH661" s="1" t="str">
        <f t="shared" si="10"/>
        <v>Jr</v>
      </c>
      <c r="AI661" t="s">
        <v>72</v>
      </c>
      <c r="AJ661" s="4">
        <v>87</v>
      </c>
      <c r="AK661" s="1">
        <f>Table1[[#This Row],[avg_salary]]*1000</f>
        <v>87000</v>
      </c>
    </row>
    <row r="662" spans="1:37" x14ac:dyDescent="0.3">
      <c r="A662" s="1">
        <v>841</v>
      </c>
      <c r="B662" s="1" t="s">
        <v>28</v>
      </c>
      <c r="C662" s="1" t="s">
        <v>1100</v>
      </c>
      <c r="D662" s="4">
        <v>64000</v>
      </c>
      <c r="E662" s="4">
        <v>108000</v>
      </c>
      <c r="F662" s="4">
        <v>86000</v>
      </c>
      <c r="G662" s="1" t="s">
        <v>1267</v>
      </c>
      <c r="H662" t="s">
        <v>1436</v>
      </c>
      <c r="I662" s="1" t="s">
        <v>1178</v>
      </c>
      <c r="J662" s="1" t="s">
        <v>780</v>
      </c>
      <c r="K662" s="1" t="s">
        <v>143</v>
      </c>
      <c r="L662" s="1" t="s">
        <v>74</v>
      </c>
      <c r="M662" s="1" t="s">
        <v>65</v>
      </c>
      <c r="N662" s="1" t="s">
        <v>672</v>
      </c>
      <c r="O662" s="1" t="s">
        <v>41</v>
      </c>
      <c r="P662">
        <v>35</v>
      </c>
      <c r="Q662" s="1">
        <v>1</v>
      </c>
      <c r="R662" s="1">
        <v>0</v>
      </c>
      <c r="S662" s="1">
        <v>0</v>
      </c>
      <c r="T662" s="1">
        <v>1</v>
      </c>
      <c r="U662" s="1">
        <v>0</v>
      </c>
      <c r="V662" s="1">
        <v>1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 t="s">
        <v>33</v>
      </c>
      <c r="AH662" s="1" t="str">
        <f t="shared" si="10"/>
        <v>Jr</v>
      </c>
      <c r="AI662" t="s">
        <v>34</v>
      </c>
      <c r="AJ662" s="4">
        <v>86</v>
      </c>
      <c r="AK662" s="1">
        <f>Table1[[#This Row],[avg_salary]]*1000</f>
        <v>86000</v>
      </c>
    </row>
    <row r="663" spans="1:37" x14ac:dyDescent="0.3">
      <c r="A663" s="1">
        <v>845</v>
      </c>
      <c r="B663" s="1" t="s">
        <v>148</v>
      </c>
      <c r="C663" s="1" t="s">
        <v>1101</v>
      </c>
      <c r="D663" s="4">
        <v>89000</v>
      </c>
      <c r="E663" s="4">
        <v>144000</v>
      </c>
      <c r="F663" s="4">
        <v>116500</v>
      </c>
      <c r="G663" s="1" t="s">
        <v>1239</v>
      </c>
      <c r="H663" t="s">
        <v>1439</v>
      </c>
      <c r="I663" s="1" t="s">
        <v>1189</v>
      </c>
      <c r="J663" s="1" t="s">
        <v>780</v>
      </c>
      <c r="K663" s="1" t="s">
        <v>73</v>
      </c>
      <c r="L663" s="1" t="s">
        <v>74</v>
      </c>
      <c r="M663" s="1" t="s">
        <v>54</v>
      </c>
      <c r="N663" s="1" t="s">
        <v>673</v>
      </c>
      <c r="O663" s="1" t="s">
        <v>67</v>
      </c>
      <c r="P663">
        <v>40</v>
      </c>
      <c r="Q663" s="1">
        <v>1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 t="s">
        <v>33</v>
      </c>
      <c r="AH663" s="1" t="str">
        <f t="shared" si="10"/>
        <v>Sr</v>
      </c>
      <c r="AI663" t="s">
        <v>34</v>
      </c>
      <c r="AJ663" s="4">
        <v>116.5</v>
      </c>
      <c r="AK663" s="1">
        <f>Table1[[#This Row],[avg_salary]]*1000</f>
        <v>116500</v>
      </c>
    </row>
    <row r="664" spans="1:37" x14ac:dyDescent="0.3">
      <c r="A664" s="1">
        <v>848</v>
      </c>
      <c r="B664" s="1" t="s">
        <v>524</v>
      </c>
      <c r="C664" s="1" t="s">
        <v>1017</v>
      </c>
      <c r="D664" s="4">
        <v>109000</v>
      </c>
      <c r="E664" s="4">
        <v>200000</v>
      </c>
      <c r="F664" s="4">
        <v>154500</v>
      </c>
      <c r="G664" s="1" t="s">
        <v>1221</v>
      </c>
      <c r="H664" t="s">
        <v>1441</v>
      </c>
      <c r="I664" s="1" t="s">
        <v>1196</v>
      </c>
      <c r="J664" s="1" t="s">
        <v>780</v>
      </c>
      <c r="K664" s="1" t="s">
        <v>89</v>
      </c>
      <c r="L664" s="1" t="s">
        <v>89</v>
      </c>
      <c r="M664" s="1" t="s">
        <v>58</v>
      </c>
      <c r="N664" s="1" t="s">
        <v>348</v>
      </c>
      <c r="O664" s="1" t="s">
        <v>91</v>
      </c>
      <c r="P664">
        <v>45</v>
      </c>
      <c r="Q664" s="1">
        <v>1</v>
      </c>
      <c r="R664" s="1">
        <v>0</v>
      </c>
      <c r="S664" s="1">
        <v>0</v>
      </c>
      <c r="T664" s="1">
        <v>1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 t="s">
        <v>71</v>
      </c>
      <c r="AH664" s="1" t="str">
        <f t="shared" si="10"/>
        <v>Sr</v>
      </c>
      <c r="AI664" t="s">
        <v>72</v>
      </c>
      <c r="AJ664" s="4">
        <v>154.5</v>
      </c>
      <c r="AK664" s="1">
        <f>Table1[[#This Row],[avg_salary]]*1000</f>
        <v>154500</v>
      </c>
    </row>
    <row r="665" spans="1:37" x14ac:dyDescent="0.3">
      <c r="A665" s="1">
        <v>851</v>
      </c>
      <c r="B665" s="1" t="s">
        <v>400</v>
      </c>
      <c r="C665" s="1" t="s">
        <v>942</v>
      </c>
      <c r="D665" s="4">
        <v>35000</v>
      </c>
      <c r="E665" s="4">
        <v>62000</v>
      </c>
      <c r="F665" s="4">
        <v>48500</v>
      </c>
      <c r="G665" s="1" t="s">
        <v>1315</v>
      </c>
      <c r="H665" t="s">
        <v>1439</v>
      </c>
      <c r="I665" s="1" t="s">
        <v>1189</v>
      </c>
      <c r="J665" s="1" t="s">
        <v>780</v>
      </c>
      <c r="K665" s="1" t="s">
        <v>401</v>
      </c>
      <c r="L665" s="1" t="s">
        <v>402</v>
      </c>
      <c r="M665" s="1" t="s">
        <v>44</v>
      </c>
      <c r="N665" s="1" t="s">
        <v>403</v>
      </c>
      <c r="O665" s="1" t="s">
        <v>67</v>
      </c>
      <c r="P665">
        <v>57</v>
      </c>
      <c r="Q665" s="1">
        <v>0</v>
      </c>
      <c r="R665" s="1">
        <v>0</v>
      </c>
      <c r="S665" s="1">
        <v>0</v>
      </c>
      <c r="T665" s="1">
        <v>1</v>
      </c>
      <c r="U665" s="1">
        <v>1</v>
      </c>
      <c r="V665" s="1">
        <v>1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1</v>
      </c>
      <c r="AC665" s="1">
        <v>0</v>
      </c>
      <c r="AD665" s="1">
        <v>0</v>
      </c>
      <c r="AE665" s="1">
        <v>0</v>
      </c>
      <c r="AF665" s="1">
        <v>1</v>
      </c>
      <c r="AG665" s="1" t="s">
        <v>88</v>
      </c>
      <c r="AH665" s="1" t="str">
        <f t="shared" si="10"/>
        <v>Jr</v>
      </c>
      <c r="AI665" t="s">
        <v>34</v>
      </c>
      <c r="AJ665" s="4">
        <v>48.5</v>
      </c>
      <c r="AK665" s="1">
        <f>Table1[[#This Row],[avg_salary]]*1000</f>
        <v>48500</v>
      </c>
    </row>
    <row r="666" spans="1:37" x14ac:dyDescent="0.3">
      <c r="A666" s="1">
        <v>852</v>
      </c>
      <c r="B666" s="1" t="s">
        <v>525</v>
      </c>
      <c r="C666" s="1" t="s">
        <v>1018</v>
      </c>
      <c r="D666" s="4">
        <v>61000</v>
      </c>
      <c r="E666" s="4">
        <v>113000</v>
      </c>
      <c r="F666" s="4">
        <v>87000</v>
      </c>
      <c r="G666" s="1" t="s">
        <v>1354</v>
      </c>
      <c r="H666" t="s">
        <v>1469</v>
      </c>
      <c r="I666" s="1" t="s">
        <v>1355</v>
      </c>
      <c r="J666" s="1" t="s">
        <v>781</v>
      </c>
      <c r="K666" s="1" t="s">
        <v>526</v>
      </c>
      <c r="L666" s="1" t="s">
        <v>62</v>
      </c>
      <c r="M666" s="1" t="s">
        <v>50</v>
      </c>
      <c r="N666" s="1" t="s">
        <v>527</v>
      </c>
      <c r="O666" s="1" t="s">
        <v>528</v>
      </c>
      <c r="P666">
        <v>22</v>
      </c>
      <c r="Q666" s="1">
        <v>1</v>
      </c>
      <c r="R666" s="1">
        <v>0</v>
      </c>
      <c r="S666" s="1">
        <v>0</v>
      </c>
      <c r="T666" s="1">
        <v>1</v>
      </c>
      <c r="U666" s="1">
        <v>1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1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 t="s">
        <v>306</v>
      </c>
      <c r="AH666" s="1" t="str">
        <f t="shared" si="10"/>
        <v>Jr</v>
      </c>
      <c r="AI666" t="s">
        <v>72</v>
      </c>
      <c r="AJ666" s="4">
        <v>87</v>
      </c>
      <c r="AK666" s="1">
        <f>Table1[[#This Row],[avg_salary]]*1000</f>
        <v>87000</v>
      </c>
    </row>
    <row r="667" spans="1:37" x14ac:dyDescent="0.3">
      <c r="A667" s="1">
        <v>853</v>
      </c>
      <c r="B667" s="1" t="s">
        <v>150</v>
      </c>
      <c r="C667" s="1" t="s">
        <v>1102</v>
      </c>
      <c r="D667" s="4">
        <v>55000</v>
      </c>
      <c r="E667" s="4">
        <v>105000</v>
      </c>
      <c r="F667" s="4">
        <v>80000</v>
      </c>
      <c r="G667" s="1" t="s">
        <v>1269</v>
      </c>
      <c r="H667" t="s">
        <v>1438</v>
      </c>
      <c r="I667" s="1" t="s">
        <v>1186</v>
      </c>
      <c r="J667" s="1" t="s">
        <v>780</v>
      </c>
      <c r="K667" s="1" t="s">
        <v>143</v>
      </c>
      <c r="L667" s="1" t="s">
        <v>74</v>
      </c>
      <c r="M667" s="1" t="s">
        <v>58</v>
      </c>
      <c r="N667" s="1" t="s">
        <v>674</v>
      </c>
      <c r="O667" s="1" t="s">
        <v>60</v>
      </c>
      <c r="P667">
        <v>43</v>
      </c>
      <c r="Q667" s="1">
        <v>1</v>
      </c>
      <c r="R667" s="1">
        <v>1</v>
      </c>
      <c r="S667" s="1">
        <v>0</v>
      </c>
      <c r="T667" s="1">
        <v>1</v>
      </c>
      <c r="U667" s="1">
        <v>1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 t="s">
        <v>98</v>
      </c>
      <c r="AH667" s="1" t="str">
        <f t="shared" si="10"/>
        <v>Jr</v>
      </c>
      <c r="AI667" t="s">
        <v>34</v>
      </c>
      <c r="AJ667" s="4">
        <v>80</v>
      </c>
      <c r="AK667" s="1">
        <f>Table1[[#This Row],[avg_salary]]*1000</f>
        <v>80000</v>
      </c>
    </row>
    <row r="668" spans="1:37" x14ac:dyDescent="0.3">
      <c r="A668" s="1">
        <v>854</v>
      </c>
      <c r="B668" s="1" t="s">
        <v>404</v>
      </c>
      <c r="C668" s="1" t="s">
        <v>1426</v>
      </c>
      <c r="D668" s="4">
        <v>37000</v>
      </c>
      <c r="E668" s="4">
        <v>52000</v>
      </c>
      <c r="F668" s="4">
        <v>44500</v>
      </c>
      <c r="G668" s="1" t="s">
        <v>1316</v>
      </c>
      <c r="H668" t="s">
        <v>1438</v>
      </c>
      <c r="I668" s="1" t="s">
        <v>1186</v>
      </c>
      <c r="J668" s="1" t="s">
        <v>69</v>
      </c>
      <c r="K668" s="1" t="s">
        <v>37</v>
      </c>
      <c r="L668" s="1" t="s">
        <v>38</v>
      </c>
      <c r="M668" s="1" t="s">
        <v>30</v>
      </c>
      <c r="N668" s="1" t="s">
        <v>405</v>
      </c>
      <c r="O668" s="1" t="s">
        <v>60</v>
      </c>
      <c r="P668">
        <v>24</v>
      </c>
      <c r="Q668" s="1">
        <v>0</v>
      </c>
      <c r="R668" s="1">
        <v>0</v>
      </c>
      <c r="S668" s="1">
        <v>1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 t="s">
        <v>71</v>
      </c>
      <c r="AH668" s="1" t="str">
        <f t="shared" si="10"/>
        <v>Jr</v>
      </c>
      <c r="AI668" t="s">
        <v>34</v>
      </c>
      <c r="AJ668" s="4">
        <v>44.5</v>
      </c>
      <c r="AK668" s="1">
        <f>Table1[[#This Row],[avg_salary]]*1000</f>
        <v>44500</v>
      </c>
    </row>
    <row r="669" spans="1:37" x14ac:dyDescent="0.3">
      <c r="A669" s="1">
        <v>855</v>
      </c>
      <c r="B669" s="1" t="s">
        <v>675</v>
      </c>
      <c r="C669" s="1" t="s">
        <v>1103</v>
      </c>
      <c r="D669" s="4">
        <v>135000</v>
      </c>
      <c r="E669" s="4">
        <v>211000</v>
      </c>
      <c r="F669" s="4">
        <v>173000</v>
      </c>
      <c r="G669" s="1" t="s">
        <v>1188</v>
      </c>
      <c r="H669" t="s">
        <v>1439</v>
      </c>
      <c r="I669" s="1" t="s">
        <v>1189</v>
      </c>
      <c r="J669" s="1" t="s">
        <v>781</v>
      </c>
      <c r="K669" s="1" t="s">
        <v>29</v>
      </c>
      <c r="L669" s="1" t="s">
        <v>29</v>
      </c>
      <c r="M669" s="1" t="s">
        <v>84</v>
      </c>
      <c r="N669" s="1" t="s">
        <v>179</v>
      </c>
      <c r="O669" s="1" t="s">
        <v>67</v>
      </c>
      <c r="P669">
        <v>22</v>
      </c>
      <c r="Q669" s="1">
        <v>1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 t="s">
        <v>33</v>
      </c>
      <c r="AH669" s="1" t="str">
        <f t="shared" si="10"/>
        <v>Sr</v>
      </c>
      <c r="AI669" t="s">
        <v>34</v>
      </c>
      <c r="AJ669" s="4">
        <v>173</v>
      </c>
      <c r="AK669" s="1">
        <f>Table1[[#This Row],[avg_salary]]*1000</f>
        <v>173000</v>
      </c>
    </row>
    <row r="670" spans="1:37" x14ac:dyDescent="0.3">
      <c r="A670" s="1">
        <v>856</v>
      </c>
      <c r="B670" s="1" t="s">
        <v>406</v>
      </c>
      <c r="C670" s="1" t="s">
        <v>943</v>
      </c>
      <c r="D670" s="4">
        <v>39000</v>
      </c>
      <c r="E670" s="4">
        <v>66000</v>
      </c>
      <c r="F670" s="4">
        <v>52500</v>
      </c>
      <c r="G670" s="1" t="s">
        <v>1317</v>
      </c>
      <c r="H670" t="s">
        <v>1444</v>
      </c>
      <c r="I670" s="1" t="s">
        <v>1204</v>
      </c>
      <c r="J670" s="1" t="s">
        <v>780</v>
      </c>
      <c r="K670" s="1" t="s">
        <v>407</v>
      </c>
      <c r="L670" s="1" t="s">
        <v>158</v>
      </c>
      <c r="M670" s="1" t="s">
        <v>44</v>
      </c>
      <c r="N670" s="1" t="s">
        <v>408</v>
      </c>
      <c r="O670" s="1" t="s">
        <v>120</v>
      </c>
      <c r="P670">
        <v>37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 t="s">
        <v>71</v>
      </c>
      <c r="AH670" s="1" t="str">
        <f t="shared" si="10"/>
        <v>Jr</v>
      </c>
      <c r="AI670" t="s">
        <v>34</v>
      </c>
      <c r="AJ670" s="4">
        <v>52.5</v>
      </c>
      <c r="AK670" s="1">
        <f>Table1[[#This Row],[avg_salary]]*1000</f>
        <v>52500</v>
      </c>
    </row>
    <row r="671" spans="1:37" x14ac:dyDescent="0.3">
      <c r="A671" s="1">
        <v>857</v>
      </c>
      <c r="B671" s="1" t="s">
        <v>150</v>
      </c>
      <c r="C671" s="1" t="s">
        <v>1104</v>
      </c>
      <c r="D671" s="4">
        <v>57000</v>
      </c>
      <c r="E671" s="4">
        <v>80000</v>
      </c>
      <c r="F671" s="4">
        <v>68500</v>
      </c>
      <c r="G671" s="1" t="s">
        <v>1274</v>
      </c>
      <c r="H671" t="s">
        <v>1459</v>
      </c>
      <c r="I671" s="1" t="s">
        <v>1275</v>
      </c>
      <c r="J671" s="1" t="s">
        <v>780</v>
      </c>
      <c r="K671" s="1" t="s">
        <v>89</v>
      </c>
      <c r="L671" s="1" t="s">
        <v>89</v>
      </c>
      <c r="M671" s="1" t="s">
        <v>54</v>
      </c>
      <c r="N671" s="1" t="s">
        <v>676</v>
      </c>
      <c r="O671" s="1" t="s">
        <v>266</v>
      </c>
      <c r="P671">
        <v>51</v>
      </c>
      <c r="Q671" s="1">
        <v>1</v>
      </c>
      <c r="R671" s="1">
        <v>1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 t="s">
        <v>98</v>
      </c>
      <c r="AH671" s="1" t="str">
        <f t="shared" si="10"/>
        <v>Jr</v>
      </c>
      <c r="AI671" t="s">
        <v>34</v>
      </c>
      <c r="AJ671" s="4">
        <v>68.5</v>
      </c>
      <c r="AK671" s="1">
        <f>Table1[[#This Row],[avg_salary]]*1000</f>
        <v>68500</v>
      </c>
    </row>
    <row r="672" spans="1:37" x14ac:dyDescent="0.3">
      <c r="A672" s="1">
        <v>858</v>
      </c>
      <c r="B672" s="1" t="s">
        <v>679</v>
      </c>
      <c r="C672" s="1" t="s">
        <v>1106</v>
      </c>
      <c r="D672" s="4">
        <v>63000</v>
      </c>
      <c r="E672" s="4">
        <v>127000</v>
      </c>
      <c r="F672" s="4">
        <v>95000</v>
      </c>
      <c r="G672" s="1" t="s">
        <v>1386</v>
      </c>
      <c r="H672" t="s">
        <v>1436</v>
      </c>
      <c r="I672" s="1" t="s">
        <v>1178</v>
      </c>
      <c r="J672" s="1" t="s">
        <v>781</v>
      </c>
      <c r="K672" s="1" t="s">
        <v>89</v>
      </c>
      <c r="L672" s="1" t="s">
        <v>89</v>
      </c>
      <c r="M672" s="1" t="s">
        <v>84</v>
      </c>
      <c r="N672" s="1" t="s">
        <v>536</v>
      </c>
      <c r="O672" s="1" t="s">
        <v>41</v>
      </c>
      <c r="P672">
        <v>33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 t="s">
        <v>71</v>
      </c>
      <c r="AH672" s="1" t="str">
        <f t="shared" si="10"/>
        <v>Jr</v>
      </c>
      <c r="AI672" t="s">
        <v>72</v>
      </c>
      <c r="AJ672" s="4">
        <v>95</v>
      </c>
      <c r="AK672" s="1">
        <f>Table1[[#This Row],[avg_salary]]*1000</f>
        <v>95000</v>
      </c>
    </row>
    <row r="673" spans="1:37" x14ac:dyDescent="0.3">
      <c r="A673" s="1">
        <v>859</v>
      </c>
      <c r="B673" s="1" t="s">
        <v>680</v>
      </c>
      <c r="C673" s="1" t="s">
        <v>1107</v>
      </c>
      <c r="D673" s="4">
        <v>50000</v>
      </c>
      <c r="E673" s="4">
        <v>89000</v>
      </c>
      <c r="F673" s="4">
        <v>69500</v>
      </c>
      <c r="G673" s="1" t="s">
        <v>1387</v>
      </c>
      <c r="H673" t="s">
        <v>1441</v>
      </c>
      <c r="I673" s="1" t="s">
        <v>1196</v>
      </c>
      <c r="J673" s="1" t="s">
        <v>107</v>
      </c>
      <c r="K673" s="1" t="s">
        <v>246</v>
      </c>
      <c r="L673" s="1" t="s">
        <v>47</v>
      </c>
      <c r="M673" s="1" t="s">
        <v>58</v>
      </c>
      <c r="N673" s="1" t="s">
        <v>247</v>
      </c>
      <c r="O673" s="1" t="s">
        <v>91</v>
      </c>
      <c r="P673">
        <v>40</v>
      </c>
      <c r="Q673" s="1">
        <v>1</v>
      </c>
      <c r="R673" s="1">
        <v>0</v>
      </c>
      <c r="S673" s="1">
        <v>0</v>
      </c>
      <c r="T673" s="1">
        <v>1</v>
      </c>
      <c r="U673" s="1">
        <v>1</v>
      </c>
      <c r="V673" s="1">
        <v>1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1</v>
      </c>
      <c r="AF673" s="1">
        <v>0</v>
      </c>
      <c r="AG673" s="1" t="s">
        <v>33</v>
      </c>
      <c r="AH673" s="1" t="str">
        <f t="shared" si="10"/>
        <v>Jr</v>
      </c>
      <c r="AI673" t="s">
        <v>34</v>
      </c>
      <c r="AJ673" s="4">
        <v>69.5</v>
      </c>
      <c r="AK673" s="1">
        <f>Table1[[#This Row],[avg_salary]]*1000</f>
        <v>69500</v>
      </c>
    </row>
    <row r="674" spans="1:37" x14ac:dyDescent="0.3">
      <c r="A674" s="1">
        <v>860</v>
      </c>
      <c r="B674" s="1" t="s">
        <v>148</v>
      </c>
      <c r="C674" s="1" t="s">
        <v>814</v>
      </c>
      <c r="D674" s="4">
        <v>82000</v>
      </c>
      <c r="E674" s="4">
        <v>132000</v>
      </c>
      <c r="F674" s="4">
        <v>107000</v>
      </c>
      <c r="G674" s="1" t="s">
        <v>1238</v>
      </c>
      <c r="H674" t="s">
        <v>1450</v>
      </c>
      <c r="I674" s="1" t="s">
        <v>1228</v>
      </c>
      <c r="J674" s="1" t="s">
        <v>93</v>
      </c>
      <c r="K674" s="1" t="s">
        <v>183</v>
      </c>
      <c r="L674" s="1" t="s">
        <v>184</v>
      </c>
      <c r="M674" s="1" t="s">
        <v>54</v>
      </c>
      <c r="N674" s="1" t="s">
        <v>185</v>
      </c>
      <c r="O674" s="1" t="s">
        <v>168</v>
      </c>
      <c r="P674">
        <v>31</v>
      </c>
      <c r="Q674" s="1">
        <v>1</v>
      </c>
      <c r="R674" s="1">
        <v>0</v>
      </c>
      <c r="S674" s="1">
        <v>1</v>
      </c>
      <c r="T674" s="1">
        <v>0</v>
      </c>
      <c r="U674" s="1">
        <v>1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1</v>
      </c>
      <c r="AC674" s="1">
        <v>1</v>
      </c>
      <c r="AD674" s="1">
        <v>0</v>
      </c>
      <c r="AE674" s="1">
        <v>0</v>
      </c>
      <c r="AF674" s="1">
        <v>0</v>
      </c>
      <c r="AG674" s="1" t="s">
        <v>33</v>
      </c>
      <c r="AH674" s="1" t="str">
        <f t="shared" si="10"/>
        <v>Jr</v>
      </c>
      <c r="AI674" t="s">
        <v>34</v>
      </c>
      <c r="AJ674" s="4">
        <v>107</v>
      </c>
      <c r="AK674" s="1">
        <f>Table1[[#This Row],[avg_salary]]*1000</f>
        <v>107000</v>
      </c>
    </row>
    <row r="675" spans="1:37" x14ac:dyDescent="0.3">
      <c r="A675" s="1">
        <v>861</v>
      </c>
      <c r="B675" s="1" t="s">
        <v>213</v>
      </c>
      <c r="C675" s="1" t="s">
        <v>844</v>
      </c>
      <c r="D675" s="4">
        <v>85000</v>
      </c>
      <c r="E675" s="4">
        <v>139000</v>
      </c>
      <c r="F675" s="4">
        <v>112000</v>
      </c>
      <c r="G675" s="1" t="s">
        <v>1251</v>
      </c>
      <c r="H675" t="s">
        <v>1440</v>
      </c>
      <c r="I675" s="1" t="s">
        <v>1192</v>
      </c>
      <c r="J675" s="1" t="s">
        <v>780</v>
      </c>
      <c r="K675" s="1" t="s">
        <v>143</v>
      </c>
      <c r="L675" s="1" t="s">
        <v>74</v>
      </c>
      <c r="M675" s="1" t="s">
        <v>44</v>
      </c>
      <c r="N675" s="1" t="s">
        <v>214</v>
      </c>
      <c r="O675" s="1" t="s">
        <v>81</v>
      </c>
      <c r="P675">
        <v>22</v>
      </c>
      <c r="Q675" s="1">
        <v>1</v>
      </c>
      <c r="R675" s="1">
        <v>1</v>
      </c>
      <c r="S675" s="1">
        <v>0</v>
      </c>
      <c r="T675" s="1">
        <v>0</v>
      </c>
      <c r="U675" s="1">
        <v>1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 t="s">
        <v>33</v>
      </c>
      <c r="AH675" s="1" t="str">
        <f t="shared" si="10"/>
        <v>Jr</v>
      </c>
      <c r="AI675" t="s">
        <v>34</v>
      </c>
      <c r="AJ675" s="4">
        <v>112</v>
      </c>
      <c r="AK675" s="1">
        <f>Table1[[#This Row],[avg_salary]]*1000</f>
        <v>112000</v>
      </c>
    </row>
    <row r="676" spans="1:37" x14ac:dyDescent="0.3">
      <c r="A676" s="1">
        <v>863</v>
      </c>
      <c r="B676" s="1" t="s">
        <v>28</v>
      </c>
      <c r="C676" s="1" t="s">
        <v>1165</v>
      </c>
      <c r="D676" s="4">
        <v>72000</v>
      </c>
      <c r="E676" s="4">
        <v>121000</v>
      </c>
      <c r="F676" s="4">
        <v>96500</v>
      </c>
      <c r="G676" s="1" t="s">
        <v>1223</v>
      </c>
      <c r="H676" t="s">
        <v>1449</v>
      </c>
      <c r="I676" s="1" t="s">
        <v>1224</v>
      </c>
      <c r="J676" s="1" t="s">
        <v>780</v>
      </c>
      <c r="K676" s="1" t="s">
        <v>64</v>
      </c>
      <c r="L676" s="1" t="s">
        <v>43</v>
      </c>
      <c r="M676" s="1" t="s">
        <v>121</v>
      </c>
      <c r="N676" s="1" t="s">
        <v>767</v>
      </c>
      <c r="O676" s="1" t="s">
        <v>162</v>
      </c>
      <c r="P676">
        <v>43</v>
      </c>
      <c r="Q676" s="1">
        <v>1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1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 t="s">
        <v>33</v>
      </c>
      <c r="AH676" s="1" t="str">
        <f t="shared" si="10"/>
        <v>Jr</v>
      </c>
      <c r="AI676" t="s">
        <v>34</v>
      </c>
      <c r="AJ676" s="4">
        <v>96.5</v>
      </c>
      <c r="AK676" s="1">
        <f>Table1[[#This Row],[avg_salary]]*1000</f>
        <v>96500</v>
      </c>
    </row>
    <row r="677" spans="1:37" x14ac:dyDescent="0.3">
      <c r="A677" s="1">
        <v>864</v>
      </c>
      <c r="B677" s="1" t="s">
        <v>530</v>
      </c>
      <c r="C677" s="1" t="s">
        <v>1020</v>
      </c>
      <c r="D677" s="4">
        <v>74000</v>
      </c>
      <c r="E677" s="4">
        <v>149000</v>
      </c>
      <c r="F677" s="4">
        <v>111500</v>
      </c>
      <c r="G677" s="1" t="s">
        <v>1356</v>
      </c>
      <c r="H677" t="s">
        <v>1439</v>
      </c>
      <c r="I677" s="1" t="s">
        <v>1189</v>
      </c>
      <c r="J677" s="1" t="s">
        <v>781</v>
      </c>
      <c r="K677" s="1" t="s">
        <v>89</v>
      </c>
      <c r="L677" s="1" t="s">
        <v>89</v>
      </c>
      <c r="M677" s="1" t="s">
        <v>65</v>
      </c>
      <c r="N677" s="1" t="s">
        <v>531</v>
      </c>
      <c r="O677" s="1" t="s">
        <v>67</v>
      </c>
      <c r="P677">
        <v>35</v>
      </c>
      <c r="Q677" s="1">
        <v>0</v>
      </c>
      <c r="R677" s="1">
        <v>0</v>
      </c>
      <c r="S677" s="1">
        <v>0</v>
      </c>
      <c r="T677" s="1">
        <v>1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 t="s">
        <v>71</v>
      </c>
      <c r="AH677" s="1" t="str">
        <f t="shared" si="10"/>
        <v>Jr</v>
      </c>
      <c r="AI677" t="s">
        <v>72</v>
      </c>
      <c r="AJ677" s="4">
        <v>111.5</v>
      </c>
      <c r="AK677" s="1">
        <f>Table1[[#This Row],[avg_salary]]*1000</f>
        <v>111500</v>
      </c>
    </row>
    <row r="678" spans="1:37" x14ac:dyDescent="0.3">
      <c r="A678" s="1">
        <v>866</v>
      </c>
      <c r="B678" s="1" t="s">
        <v>532</v>
      </c>
      <c r="C678" s="1" t="s">
        <v>1021</v>
      </c>
      <c r="D678" s="4">
        <v>113000</v>
      </c>
      <c r="E678" s="4">
        <v>196000</v>
      </c>
      <c r="F678" s="4">
        <v>154500</v>
      </c>
      <c r="G678" s="1" t="s">
        <v>1195</v>
      </c>
      <c r="H678" t="s">
        <v>1441</v>
      </c>
      <c r="I678" s="1" t="s">
        <v>1196</v>
      </c>
      <c r="J678" s="1" t="s">
        <v>781</v>
      </c>
      <c r="K678" s="1" t="s">
        <v>89</v>
      </c>
      <c r="L678" s="1" t="s">
        <v>89</v>
      </c>
      <c r="M678" s="1" t="s">
        <v>84</v>
      </c>
      <c r="N678" s="1" t="s">
        <v>90</v>
      </c>
      <c r="O678" s="1" t="s">
        <v>91</v>
      </c>
      <c r="P678">
        <v>18</v>
      </c>
      <c r="Q678" s="1">
        <v>0</v>
      </c>
      <c r="R678" s="1">
        <v>1</v>
      </c>
      <c r="S678" s="1">
        <v>1</v>
      </c>
      <c r="T678" s="1">
        <v>1</v>
      </c>
      <c r="U678" s="1">
        <v>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1</v>
      </c>
      <c r="AB678" s="1">
        <v>0</v>
      </c>
      <c r="AC678" s="1">
        <v>0</v>
      </c>
      <c r="AD678" s="1">
        <v>0</v>
      </c>
      <c r="AE678" s="1">
        <v>1</v>
      </c>
      <c r="AF678" s="1">
        <v>0</v>
      </c>
      <c r="AG678" s="1" t="s">
        <v>98</v>
      </c>
      <c r="AH678" s="1" t="str">
        <f t="shared" si="10"/>
        <v>Sr</v>
      </c>
      <c r="AI678" t="s">
        <v>34</v>
      </c>
      <c r="AJ678" s="4">
        <v>154.5</v>
      </c>
      <c r="AK678" s="1">
        <f>Table1[[#This Row],[avg_salary]]*1000</f>
        <v>154500</v>
      </c>
    </row>
    <row r="679" spans="1:37" x14ac:dyDescent="0.3">
      <c r="A679" s="1">
        <v>867</v>
      </c>
      <c r="B679" s="1" t="s">
        <v>28</v>
      </c>
      <c r="C679" s="1" t="s">
        <v>1109</v>
      </c>
      <c r="D679" s="4">
        <v>69000</v>
      </c>
      <c r="E679" s="4">
        <v>121000</v>
      </c>
      <c r="F679" s="4">
        <v>95000</v>
      </c>
      <c r="G679" s="1" t="s">
        <v>1183</v>
      </c>
      <c r="H679" t="s">
        <v>1183</v>
      </c>
      <c r="I679" s="1" t="s">
        <v>1184</v>
      </c>
      <c r="J679" s="1" t="s">
        <v>780</v>
      </c>
      <c r="K679" s="1" t="s">
        <v>37</v>
      </c>
      <c r="L679" s="1" t="s">
        <v>38</v>
      </c>
      <c r="M679" s="1" t="s">
        <v>54</v>
      </c>
      <c r="N679" s="1" t="s">
        <v>683</v>
      </c>
      <c r="O679" s="1" t="s">
        <v>56</v>
      </c>
      <c r="P679">
        <v>53</v>
      </c>
      <c r="Q679" s="1">
        <v>1</v>
      </c>
      <c r="R679" s="1">
        <v>1</v>
      </c>
      <c r="S679" s="1">
        <v>1</v>
      </c>
      <c r="T679" s="1">
        <v>0</v>
      </c>
      <c r="U679" s="1">
        <v>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1</v>
      </c>
      <c r="AC679" s="1">
        <v>0</v>
      </c>
      <c r="AD679" s="1">
        <v>0</v>
      </c>
      <c r="AE679" s="1">
        <v>0</v>
      </c>
      <c r="AF679" s="1">
        <v>0</v>
      </c>
      <c r="AG679" s="1" t="s">
        <v>33</v>
      </c>
      <c r="AH679" s="1" t="str">
        <f t="shared" si="10"/>
        <v>Jr</v>
      </c>
      <c r="AI679" t="s">
        <v>72</v>
      </c>
      <c r="AJ679" s="4">
        <v>95</v>
      </c>
      <c r="AK679" s="1">
        <f>Table1[[#This Row],[avg_salary]]*1000</f>
        <v>95000</v>
      </c>
    </row>
    <row r="680" spans="1:37" x14ac:dyDescent="0.3">
      <c r="A680" s="1">
        <v>868</v>
      </c>
      <c r="B680" s="1" t="s">
        <v>28</v>
      </c>
      <c r="C680" s="1" t="s">
        <v>1108</v>
      </c>
      <c r="D680" s="4">
        <v>71000</v>
      </c>
      <c r="E680" s="4">
        <v>124000</v>
      </c>
      <c r="F680" s="4">
        <v>97500</v>
      </c>
      <c r="G680" s="1" t="s">
        <v>1183</v>
      </c>
      <c r="H680" t="s">
        <v>1183</v>
      </c>
      <c r="I680" s="1" t="s">
        <v>1184</v>
      </c>
      <c r="J680" s="1" t="s">
        <v>780</v>
      </c>
      <c r="K680" s="1" t="s">
        <v>681</v>
      </c>
      <c r="L680" s="1" t="s">
        <v>653</v>
      </c>
      <c r="M680" s="1" t="s">
        <v>54</v>
      </c>
      <c r="N680" s="1" t="s">
        <v>682</v>
      </c>
      <c r="O680" s="1" t="s">
        <v>56</v>
      </c>
      <c r="P680">
        <v>43</v>
      </c>
      <c r="Q680" s="1">
        <v>1</v>
      </c>
      <c r="R680" s="1">
        <v>0</v>
      </c>
      <c r="S680" s="1">
        <v>0</v>
      </c>
      <c r="T680" s="1">
        <v>1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 t="s">
        <v>33</v>
      </c>
      <c r="AH680" s="1" t="str">
        <f t="shared" si="10"/>
        <v>Jr</v>
      </c>
      <c r="AI680" t="s">
        <v>72</v>
      </c>
      <c r="AJ680" s="4">
        <v>97.5</v>
      </c>
      <c r="AK680" s="1">
        <f>Table1[[#This Row],[avg_salary]]*1000</f>
        <v>97500</v>
      </c>
    </row>
    <row r="681" spans="1:37" x14ac:dyDescent="0.3">
      <c r="A681" s="1">
        <v>869</v>
      </c>
      <c r="B681" s="1" t="s">
        <v>148</v>
      </c>
      <c r="C681" s="1" t="s">
        <v>1022</v>
      </c>
      <c r="D681" s="4">
        <v>97000</v>
      </c>
      <c r="E681" s="4">
        <v>160000</v>
      </c>
      <c r="F681" s="4">
        <v>128500</v>
      </c>
      <c r="G681" s="1" t="s">
        <v>1203</v>
      </c>
      <c r="H681" t="s">
        <v>1444</v>
      </c>
      <c r="I681" s="1" t="s">
        <v>1204</v>
      </c>
      <c r="J681" s="1" t="s">
        <v>780</v>
      </c>
      <c r="K681" s="1" t="s">
        <v>64</v>
      </c>
      <c r="L681" s="1" t="s">
        <v>43</v>
      </c>
      <c r="M681" s="1" t="s">
        <v>30</v>
      </c>
      <c r="N681" s="1" t="s">
        <v>297</v>
      </c>
      <c r="O681" s="1" t="s">
        <v>120</v>
      </c>
      <c r="P681">
        <v>23</v>
      </c>
      <c r="Q681" s="1">
        <v>1</v>
      </c>
      <c r="R681" s="1">
        <v>0</v>
      </c>
      <c r="S681" s="1">
        <v>1</v>
      </c>
      <c r="T681" s="1">
        <v>1</v>
      </c>
      <c r="U681" s="1">
        <v>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1</v>
      </c>
      <c r="AB681" s="1">
        <v>1</v>
      </c>
      <c r="AC681" s="1">
        <v>0</v>
      </c>
      <c r="AD681" s="1">
        <v>0</v>
      </c>
      <c r="AE681" s="1">
        <v>0</v>
      </c>
      <c r="AF681" s="1">
        <v>0</v>
      </c>
      <c r="AG681" s="1" t="s">
        <v>33</v>
      </c>
      <c r="AH681" s="1" t="str">
        <f t="shared" si="10"/>
        <v>Sr</v>
      </c>
      <c r="AI681" t="s">
        <v>34</v>
      </c>
      <c r="AJ681" s="4">
        <v>128.5</v>
      </c>
      <c r="AK681" s="1">
        <f>Table1[[#This Row],[avg_salary]]*1000</f>
        <v>128500</v>
      </c>
    </row>
    <row r="682" spans="1:37" x14ac:dyDescent="0.3">
      <c r="A682" s="1">
        <v>870</v>
      </c>
      <c r="B682" s="1" t="s">
        <v>409</v>
      </c>
      <c r="C682" s="1" t="s">
        <v>900</v>
      </c>
      <c r="D682" s="4">
        <v>81000</v>
      </c>
      <c r="E682" s="4">
        <v>167000</v>
      </c>
      <c r="F682" s="4">
        <v>124000</v>
      </c>
      <c r="G682" s="1" t="s">
        <v>1252</v>
      </c>
      <c r="H682" t="s">
        <v>1453</v>
      </c>
      <c r="I682" s="1" t="s">
        <v>1241</v>
      </c>
      <c r="J682" s="1" t="s">
        <v>322</v>
      </c>
      <c r="K682" s="1" t="s">
        <v>323</v>
      </c>
      <c r="L682" s="1" t="s">
        <v>255</v>
      </c>
      <c r="M682" s="1" t="s">
        <v>54</v>
      </c>
      <c r="N682" s="1" t="s">
        <v>324</v>
      </c>
      <c r="O682" s="1" t="s">
        <v>194</v>
      </c>
      <c r="P682">
        <v>45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 t="s">
        <v>306</v>
      </c>
      <c r="AH682" s="1" t="str">
        <f t="shared" si="10"/>
        <v>Sr</v>
      </c>
      <c r="AI682" t="s">
        <v>72</v>
      </c>
      <c r="AJ682" s="4">
        <v>124</v>
      </c>
      <c r="AK682" s="1">
        <f>Table1[[#This Row],[avg_salary]]*1000</f>
        <v>124000</v>
      </c>
    </row>
    <row r="683" spans="1:37" x14ac:dyDescent="0.3">
      <c r="A683" s="1">
        <v>871</v>
      </c>
      <c r="B683" s="1" t="s">
        <v>675</v>
      </c>
      <c r="C683" s="1" t="s">
        <v>1110</v>
      </c>
      <c r="D683" s="4">
        <v>150000</v>
      </c>
      <c r="E683" s="4">
        <v>238000</v>
      </c>
      <c r="F683" s="4">
        <v>194000</v>
      </c>
      <c r="G683" s="1" t="s">
        <v>1200</v>
      </c>
      <c r="H683" t="s">
        <v>1439</v>
      </c>
      <c r="I683" s="1" t="s">
        <v>1189</v>
      </c>
      <c r="J683" s="1" t="s">
        <v>93</v>
      </c>
      <c r="K683" s="1" t="s">
        <v>103</v>
      </c>
      <c r="L683" s="1" t="s">
        <v>74</v>
      </c>
      <c r="M683" s="1" t="s">
        <v>54</v>
      </c>
      <c r="N683" s="1" t="s">
        <v>684</v>
      </c>
      <c r="O683" s="1" t="s">
        <v>67</v>
      </c>
      <c r="P683">
        <v>58</v>
      </c>
      <c r="Q683" s="1">
        <v>0</v>
      </c>
      <c r="R683" s="1">
        <v>0</v>
      </c>
      <c r="S683" s="1">
        <v>1</v>
      </c>
      <c r="T683" s="1">
        <v>1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 t="s">
        <v>33</v>
      </c>
      <c r="AH683" s="1" t="str">
        <f t="shared" si="10"/>
        <v>Sr</v>
      </c>
      <c r="AI683" t="s">
        <v>34</v>
      </c>
      <c r="AJ683" s="4">
        <v>194</v>
      </c>
      <c r="AK683" s="1">
        <f>Table1[[#This Row],[avg_salary]]*1000</f>
        <v>194000</v>
      </c>
    </row>
    <row r="684" spans="1:37" x14ac:dyDescent="0.3">
      <c r="A684" s="1">
        <v>875</v>
      </c>
      <c r="B684" s="1" t="s">
        <v>533</v>
      </c>
      <c r="C684" s="1" t="s">
        <v>1424</v>
      </c>
      <c r="D684" s="4">
        <v>49000</v>
      </c>
      <c r="E684" s="4">
        <v>81000</v>
      </c>
      <c r="F684" s="4">
        <v>65000</v>
      </c>
      <c r="G684" s="1" t="s">
        <v>1357</v>
      </c>
      <c r="H684" t="s">
        <v>1443</v>
      </c>
      <c r="I684" s="1" t="s">
        <v>1202</v>
      </c>
      <c r="J684" s="1" t="s">
        <v>69</v>
      </c>
      <c r="K684" s="1" t="s">
        <v>37</v>
      </c>
      <c r="L684" s="1" t="s">
        <v>38</v>
      </c>
      <c r="M684" s="1" t="s">
        <v>44</v>
      </c>
      <c r="N684" s="1" t="s">
        <v>534</v>
      </c>
      <c r="O684" s="1" t="s">
        <v>111</v>
      </c>
      <c r="P684">
        <v>50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 t="s">
        <v>71</v>
      </c>
      <c r="AH684" s="1" t="str">
        <f t="shared" si="10"/>
        <v>Jr</v>
      </c>
      <c r="AI684" t="s">
        <v>34</v>
      </c>
      <c r="AJ684" s="4">
        <v>65</v>
      </c>
      <c r="AK684" s="1">
        <f>Table1[[#This Row],[avg_salary]]*1000</f>
        <v>65000</v>
      </c>
    </row>
    <row r="685" spans="1:37" x14ac:dyDescent="0.3">
      <c r="A685" s="1">
        <v>877</v>
      </c>
      <c r="B685" s="1" t="s">
        <v>687</v>
      </c>
      <c r="C685" s="1" t="s">
        <v>1113</v>
      </c>
      <c r="D685" s="4">
        <v>35000</v>
      </c>
      <c r="E685" s="4">
        <v>65000</v>
      </c>
      <c r="F685" s="4">
        <v>50000</v>
      </c>
      <c r="G685" s="1" t="s">
        <v>1312</v>
      </c>
      <c r="H685" t="s">
        <v>1462</v>
      </c>
      <c r="I685" s="1" t="s">
        <v>1293</v>
      </c>
      <c r="J685" s="1" t="s">
        <v>107</v>
      </c>
      <c r="K685" s="1" t="s">
        <v>315</v>
      </c>
      <c r="L685" s="1" t="s">
        <v>316</v>
      </c>
      <c r="M685" s="1" t="s">
        <v>54</v>
      </c>
      <c r="N685" s="1" t="s">
        <v>317</v>
      </c>
      <c r="O685" s="1" t="s">
        <v>318</v>
      </c>
      <c r="P685">
        <v>40</v>
      </c>
      <c r="Q685" s="1">
        <v>0</v>
      </c>
      <c r="R685" s="1">
        <v>0</v>
      </c>
      <c r="S685" s="1">
        <v>1</v>
      </c>
      <c r="T685" s="1">
        <v>1</v>
      </c>
      <c r="U685" s="1">
        <v>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 t="s">
        <v>88</v>
      </c>
      <c r="AH685" s="1" t="str">
        <f t="shared" si="10"/>
        <v>Jr</v>
      </c>
      <c r="AI685" t="s">
        <v>34</v>
      </c>
      <c r="AJ685" s="4">
        <v>50</v>
      </c>
      <c r="AK685" s="1">
        <f>Table1[[#This Row],[avg_salary]]*1000</f>
        <v>50000</v>
      </c>
    </row>
    <row r="686" spans="1:37" x14ac:dyDescent="0.3">
      <c r="A686" s="1">
        <v>878</v>
      </c>
      <c r="B686" s="1" t="s">
        <v>28</v>
      </c>
      <c r="C686" s="1" t="s">
        <v>1111</v>
      </c>
      <c r="D686" s="4">
        <v>77000</v>
      </c>
      <c r="E686" s="4">
        <v>132000</v>
      </c>
      <c r="F686" s="4">
        <v>104500</v>
      </c>
      <c r="G686" s="1" t="s">
        <v>1183</v>
      </c>
      <c r="H686" t="s">
        <v>1183</v>
      </c>
      <c r="I686" s="1" t="s">
        <v>1184</v>
      </c>
      <c r="J686" s="1" t="s">
        <v>781</v>
      </c>
      <c r="K686" s="1" t="s">
        <v>53</v>
      </c>
      <c r="L686" s="1" t="s">
        <v>43</v>
      </c>
      <c r="M686" s="1" t="s">
        <v>54</v>
      </c>
      <c r="N686" s="1" t="s">
        <v>685</v>
      </c>
      <c r="O686" s="1" t="s">
        <v>56</v>
      </c>
      <c r="P686">
        <v>56</v>
      </c>
      <c r="Q686" s="1">
        <v>1</v>
      </c>
      <c r="R686" s="1">
        <v>1</v>
      </c>
      <c r="S686" s="1">
        <v>1</v>
      </c>
      <c r="T686" s="1">
        <v>1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 t="s">
        <v>33</v>
      </c>
      <c r="AH686" s="1" t="str">
        <f t="shared" si="10"/>
        <v>Jr</v>
      </c>
      <c r="AI686" t="s">
        <v>34</v>
      </c>
      <c r="AJ686" s="4">
        <v>104.5</v>
      </c>
      <c r="AK686" s="1">
        <f>Table1[[#This Row],[avg_salary]]*1000</f>
        <v>104500</v>
      </c>
    </row>
    <row r="687" spans="1:37" x14ac:dyDescent="0.3">
      <c r="A687" s="1">
        <v>879</v>
      </c>
      <c r="B687" s="1" t="s">
        <v>28</v>
      </c>
      <c r="C687" s="1" t="s">
        <v>1166</v>
      </c>
      <c r="D687" s="4">
        <v>51000</v>
      </c>
      <c r="E687" s="4">
        <v>88000</v>
      </c>
      <c r="F687" s="4">
        <v>69500</v>
      </c>
      <c r="G687" s="1" t="s">
        <v>1274</v>
      </c>
      <c r="H687" t="s">
        <v>1459</v>
      </c>
      <c r="I687" s="1" t="s">
        <v>1275</v>
      </c>
      <c r="J687" s="1" t="s">
        <v>780</v>
      </c>
      <c r="K687" s="1" t="s">
        <v>143</v>
      </c>
      <c r="L687" s="1" t="s">
        <v>74</v>
      </c>
      <c r="M687" s="1" t="s">
        <v>30</v>
      </c>
      <c r="N687" s="1" t="s">
        <v>768</v>
      </c>
      <c r="O687" s="1" t="s">
        <v>266</v>
      </c>
      <c r="P687">
        <v>18</v>
      </c>
      <c r="Q687" s="1">
        <v>1</v>
      </c>
      <c r="R687" s="1">
        <v>0</v>
      </c>
      <c r="S687" s="1">
        <v>0</v>
      </c>
      <c r="T687" s="1">
        <v>1</v>
      </c>
      <c r="U687" s="1">
        <v>1</v>
      </c>
      <c r="V687" s="1">
        <v>1</v>
      </c>
      <c r="W687" s="1">
        <v>0</v>
      </c>
      <c r="X687" s="1">
        <v>0</v>
      </c>
      <c r="Y687" s="1">
        <v>1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 t="s">
        <v>33</v>
      </c>
      <c r="AH687" s="1" t="str">
        <f t="shared" si="10"/>
        <v>Jr</v>
      </c>
      <c r="AI687" t="s">
        <v>34</v>
      </c>
      <c r="AJ687" s="4">
        <v>69.5</v>
      </c>
      <c r="AK687" s="1">
        <f>Table1[[#This Row],[avg_salary]]*1000</f>
        <v>69500</v>
      </c>
    </row>
    <row r="688" spans="1:37" x14ac:dyDescent="0.3">
      <c r="A688" s="1">
        <v>880</v>
      </c>
      <c r="B688" s="1" t="s">
        <v>28</v>
      </c>
      <c r="C688" s="1" t="s">
        <v>1167</v>
      </c>
      <c r="D688" s="4">
        <v>101000</v>
      </c>
      <c r="E688" s="4">
        <v>141000</v>
      </c>
      <c r="F688" s="4">
        <v>121000</v>
      </c>
      <c r="G688" s="1" t="s">
        <v>1404</v>
      </c>
      <c r="H688" t="s">
        <v>1439</v>
      </c>
      <c r="I688" s="1" t="s">
        <v>1189</v>
      </c>
      <c r="J688" s="1" t="s">
        <v>780</v>
      </c>
      <c r="K688" s="1" t="s">
        <v>323</v>
      </c>
      <c r="L688" s="1" t="s">
        <v>255</v>
      </c>
      <c r="M688" s="1" t="s">
        <v>54</v>
      </c>
      <c r="N688" s="1" t="s">
        <v>769</v>
      </c>
      <c r="O688" s="1" t="s">
        <v>67</v>
      </c>
      <c r="P688">
        <v>40</v>
      </c>
      <c r="Q688" s="1">
        <v>1</v>
      </c>
      <c r="R688" s="1">
        <v>0</v>
      </c>
      <c r="S688" s="1">
        <v>0</v>
      </c>
      <c r="T688" s="1">
        <v>0</v>
      </c>
      <c r="U688" s="1">
        <v>1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1</v>
      </c>
      <c r="AC688" s="1">
        <v>1</v>
      </c>
      <c r="AD688" s="1">
        <v>0</v>
      </c>
      <c r="AE688" s="1">
        <v>0</v>
      </c>
      <c r="AF688" s="1">
        <v>0</v>
      </c>
      <c r="AG688" s="1" t="s">
        <v>33</v>
      </c>
      <c r="AH688" s="1" t="str">
        <f t="shared" si="10"/>
        <v>Sr</v>
      </c>
      <c r="AI688" t="s">
        <v>34</v>
      </c>
      <c r="AJ688" s="4">
        <v>121</v>
      </c>
      <c r="AK688" s="1">
        <f>Table1[[#This Row],[avg_salary]]*1000</f>
        <v>121000</v>
      </c>
    </row>
    <row r="689" spans="1:37" x14ac:dyDescent="0.3">
      <c r="A689" s="1">
        <v>881</v>
      </c>
      <c r="B689" s="1" t="s">
        <v>686</v>
      </c>
      <c r="C689" s="1" t="s">
        <v>1112</v>
      </c>
      <c r="D689" s="4">
        <v>59000</v>
      </c>
      <c r="E689" s="4">
        <v>112000</v>
      </c>
      <c r="F689" s="4">
        <v>85500</v>
      </c>
      <c r="G689" s="1" t="s">
        <v>1270</v>
      </c>
      <c r="H689" t="s">
        <v>1458</v>
      </c>
      <c r="I689" s="1" t="s">
        <v>1271</v>
      </c>
      <c r="J689" s="1" t="s">
        <v>780</v>
      </c>
      <c r="K689" s="1" t="s">
        <v>143</v>
      </c>
      <c r="L689" s="1" t="s">
        <v>74</v>
      </c>
      <c r="M689" s="1" t="s">
        <v>54</v>
      </c>
      <c r="N689" s="1" t="s">
        <v>144</v>
      </c>
      <c r="O689" s="1" t="s">
        <v>259</v>
      </c>
      <c r="P689">
        <v>58</v>
      </c>
      <c r="Q689" s="1">
        <v>1</v>
      </c>
      <c r="R689" s="1">
        <v>0</v>
      </c>
      <c r="S689" s="1">
        <v>0</v>
      </c>
      <c r="T689" s="1">
        <v>1</v>
      </c>
      <c r="U689" s="1">
        <v>1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1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 t="s">
        <v>98</v>
      </c>
      <c r="AH689" s="1" t="str">
        <f t="shared" si="10"/>
        <v>Jr</v>
      </c>
      <c r="AI689" t="s">
        <v>34</v>
      </c>
      <c r="AJ689" s="4">
        <v>85.5</v>
      </c>
      <c r="AK689" s="1">
        <f>Table1[[#This Row],[avg_salary]]*1000</f>
        <v>85500</v>
      </c>
    </row>
    <row r="690" spans="1:37" x14ac:dyDescent="0.3">
      <c r="A690" s="1">
        <v>883</v>
      </c>
      <c r="B690" s="1" t="s">
        <v>150</v>
      </c>
      <c r="C690" s="1" t="s">
        <v>1114</v>
      </c>
      <c r="D690" s="4">
        <v>79000</v>
      </c>
      <c r="E690" s="4">
        <v>147000</v>
      </c>
      <c r="F690" s="4">
        <v>113000</v>
      </c>
      <c r="G690" s="1" t="s">
        <v>1388</v>
      </c>
      <c r="H690" t="s">
        <v>1439</v>
      </c>
      <c r="I690" s="1" t="s">
        <v>1189</v>
      </c>
      <c r="J690" s="1" t="s">
        <v>781</v>
      </c>
      <c r="K690" s="1" t="s">
        <v>432</v>
      </c>
      <c r="L690" s="1" t="s">
        <v>95</v>
      </c>
      <c r="M690" s="1" t="s">
        <v>84</v>
      </c>
      <c r="N690" s="1" t="s">
        <v>433</v>
      </c>
      <c r="O690" s="1" t="s">
        <v>67</v>
      </c>
      <c r="P690">
        <v>24</v>
      </c>
      <c r="Q690" s="1">
        <v>1</v>
      </c>
      <c r="R690" s="1">
        <v>1</v>
      </c>
      <c r="S690" s="1">
        <v>1</v>
      </c>
      <c r="T690" s="1">
        <v>1</v>
      </c>
      <c r="U690" s="1">
        <v>1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1</v>
      </c>
      <c r="AF690" s="1">
        <v>0</v>
      </c>
      <c r="AG690" s="1" t="s">
        <v>98</v>
      </c>
      <c r="AH690" s="1" t="str">
        <f t="shared" si="10"/>
        <v>Jr</v>
      </c>
      <c r="AI690" t="s">
        <v>72</v>
      </c>
      <c r="AJ690" s="4">
        <v>113</v>
      </c>
      <c r="AK690" s="1">
        <f>Table1[[#This Row],[avg_salary]]*1000</f>
        <v>113000</v>
      </c>
    </row>
    <row r="691" spans="1:37" x14ac:dyDescent="0.3">
      <c r="A691" s="1">
        <v>884</v>
      </c>
      <c r="B691" s="1" t="s">
        <v>770</v>
      </c>
      <c r="C691" s="1" t="s">
        <v>1168</v>
      </c>
      <c r="D691" s="4">
        <v>79000</v>
      </c>
      <c r="E691" s="4">
        <v>127000</v>
      </c>
      <c r="F691" s="4">
        <v>103000</v>
      </c>
      <c r="G691" s="1" t="s">
        <v>1200</v>
      </c>
      <c r="H691" t="s">
        <v>1439</v>
      </c>
      <c r="I691" s="1" t="s">
        <v>1189</v>
      </c>
      <c r="J691" s="1" t="s">
        <v>93</v>
      </c>
      <c r="K691" s="1" t="s">
        <v>157</v>
      </c>
      <c r="L691" s="1" t="s">
        <v>158</v>
      </c>
      <c r="M691" s="1" t="s">
        <v>65</v>
      </c>
      <c r="N691" s="1" t="s">
        <v>771</v>
      </c>
      <c r="O691" s="1" t="s">
        <v>67</v>
      </c>
      <c r="P691">
        <v>30</v>
      </c>
      <c r="Q691" s="1">
        <v>1</v>
      </c>
      <c r="R691" s="1">
        <v>0</v>
      </c>
      <c r="S691" s="1">
        <v>1</v>
      </c>
      <c r="T691" s="1">
        <v>0</v>
      </c>
      <c r="U691" s="1">
        <v>1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1</v>
      </c>
      <c r="AC691" s="1">
        <v>1</v>
      </c>
      <c r="AD691" s="1">
        <v>0</v>
      </c>
      <c r="AE691" s="1">
        <v>0</v>
      </c>
      <c r="AF691" s="1">
        <v>0</v>
      </c>
      <c r="AG691" s="1" t="s">
        <v>33</v>
      </c>
      <c r="AH691" s="1" t="str">
        <f t="shared" si="10"/>
        <v>Jr</v>
      </c>
      <c r="AI691" t="s">
        <v>34</v>
      </c>
      <c r="AJ691" s="4">
        <v>103</v>
      </c>
      <c r="AK691" s="1">
        <f>Table1[[#This Row],[avg_salary]]*1000</f>
        <v>103000</v>
      </c>
    </row>
    <row r="692" spans="1:37" x14ac:dyDescent="0.3">
      <c r="A692" s="1">
        <v>886</v>
      </c>
      <c r="B692" s="1" t="s">
        <v>688</v>
      </c>
      <c r="C692" s="1" t="s">
        <v>997</v>
      </c>
      <c r="D692" s="4">
        <v>62000</v>
      </c>
      <c r="E692" s="4">
        <v>119000</v>
      </c>
      <c r="F692" s="4">
        <v>90500</v>
      </c>
      <c r="G692" s="1" t="s">
        <v>1195</v>
      </c>
      <c r="H692" t="s">
        <v>1441</v>
      </c>
      <c r="I692" s="1" t="s">
        <v>1196</v>
      </c>
      <c r="J692" s="1" t="s">
        <v>781</v>
      </c>
      <c r="K692" s="1" t="s">
        <v>89</v>
      </c>
      <c r="L692" s="1" t="s">
        <v>89</v>
      </c>
      <c r="M692" s="1" t="s">
        <v>84</v>
      </c>
      <c r="N692" s="1" t="s">
        <v>689</v>
      </c>
      <c r="O692" s="1" t="s">
        <v>91</v>
      </c>
      <c r="P692">
        <v>46</v>
      </c>
      <c r="Q692" s="1">
        <v>0</v>
      </c>
      <c r="R692" s="1">
        <v>0</v>
      </c>
      <c r="S692" s="1">
        <v>1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 t="s">
        <v>71</v>
      </c>
      <c r="AH692" s="1" t="str">
        <f t="shared" si="10"/>
        <v>Jr</v>
      </c>
      <c r="AI692" t="s">
        <v>34</v>
      </c>
      <c r="AJ692" s="4">
        <v>90.5</v>
      </c>
      <c r="AK692" s="1">
        <f>Table1[[#This Row],[avg_salary]]*1000</f>
        <v>90500</v>
      </c>
    </row>
    <row r="693" spans="1:37" x14ac:dyDescent="0.3">
      <c r="A693" s="1">
        <v>887</v>
      </c>
      <c r="B693" s="1" t="s">
        <v>148</v>
      </c>
      <c r="C693" s="1" t="s">
        <v>1115</v>
      </c>
      <c r="D693" s="4">
        <v>119000</v>
      </c>
      <c r="E693" s="4">
        <v>187000</v>
      </c>
      <c r="F693" s="4">
        <v>153000</v>
      </c>
      <c r="G693" s="1" t="s">
        <v>1282</v>
      </c>
      <c r="H693" t="s">
        <v>1439</v>
      </c>
      <c r="I693" s="1" t="s">
        <v>1189</v>
      </c>
      <c r="J693" s="1" t="s">
        <v>780</v>
      </c>
      <c r="K693" s="1" t="s">
        <v>145</v>
      </c>
      <c r="L693" s="1" t="s">
        <v>74</v>
      </c>
      <c r="M693" s="1" t="s">
        <v>54</v>
      </c>
      <c r="N693" s="1" t="s">
        <v>690</v>
      </c>
      <c r="O693" s="1" t="s">
        <v>67</v>
      </c>
      <c r="P693">
        <v>56</v>
      </c>
      <c r="Q693" s="1">
        <v>1</v>
      </c>
      <c r="R693" s="1">
        <v>1</v>
      </c>
      <c r="S693" s="1">
        <v>0</v>
      </c>
      <c r="T693" s="1">
        <v>1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 t="s">
        <v>33</v>
      </c>
      <c r="AH693" s="1" t="str">
        <f t="shared" si="10"/>
        <v>Sr</v>
      </c>
      <c r="AI693" t="s">
        <v>34</v>
      </c>
      <c r="AJ693" s="4">
        <v>153</v>
      </c>
      <c r="AK693" s="1">
        <f>Table1[[#This Row],[avg_salary]]*1000</f>
        <v>153000</v>
      </c>
    </row>
    <row r="694" spans="1:37" x14ac:dyDescent="0.3">
      <c r="A694" s="1">
        <v>892</v>
      </c>
      <c r="B694" s="1" t="s">
        <v>772</v>
      </c>
      <c r="C694" s="1" t="s">
        <v>1169</v>
      </c>
      <c r="D694" s="4">
        <v>81000</v>
      </c>
      <c r="E694" s="4">
        <v>132000</v>
      </c>
      <c r="F694" s="4">
        <v>106500</v>
      </c>
      <c r="G694" s="1" t="s">
        <v>1263</v>
      </c>
      <c r="H694" t="s">
        <v>1440</v>
      </c>
      <c r="I694" s="1" t="s">
        <v>1192</v>
      </c>
      <c r="J694" s="1" t="s">
        <v>107</v>
      </c>
      <c r="K694" s="1" t="s">
        <v>246</v>
      </c>
      <c r="L694" s="1" t="s">
        <v>47</v>
      </c>
      <c r="M694" s="1" t="s">
        <v>58</v>
      </c>
      <c r="N694" s="1" t="s">
        <v>247</v>
      </c>
      <c r="O694" s="1" t="s">
        <v>81</v>
      </c>
      <c r="P694">
        <v>21</v>
      </c>
      <c r="Q694" s="1">
        <v>1</v>
      </c>
      <c r="R694" s="1">
        <v>1</v>
      </c>
      <c r="S694" s="1">
        <v>0</v>
      </c>
      <c r="T694" s="1">
        <v>1</v>
      </c>
      <c r="U694" s="1">
        <v>1</v>
      </c>
      <c r="V694" s="1">
        <v>1</v>
      </c>
      <c r="W694" s="1">
        <v>0</v>
      </c>
      <c r="X694" s="1">
        <v>0</v>
      </c>
      <c r="Y694" s="1">
        <v>0</v>
      </c>
      <c r="Z694" s="1">
        <v>0</v>
      </c>
      <c r="AA694" s="1">
        <v>1</v>
      </c>
      <c r="AB694" s="1">
        <v>1</v>
      </c>
      <c r="AC694" s="1">
        <v>0</v>
      </c>
      <c r="AD694" s="1">
        <v>0</v>
      </c>
      <c r="AE694" s="1">
        <v>0</v>
      </c>
      <c r="AF694" s="1">
        <v>0</v>
      </c>
      <c r="AG694" s="1" t="s">
        <v>33</v>
      </c>
      <c r="AH694" s="1" t="str">
        <f t="shared" si="10"/>
        <v>Jr</v>
      </c>
      <c r="AI694" t="s">
        <v>72</v>
      </c>
      <c r="AJ694" s="4">
        <v>106.5</v>
      </c>
      <c r="AK694" s="1">
        <f>Table1[[#This Row],[avg_salary]]*1000</f>
        <v>106500</v>
      </c>
    </row>
    <row r="695" spans="1:37" x14ac:dyDescent="0.3">
      <c r="A695" s="1">
        <v>893</v>
      </c>
      <c r="B695" s="1" t="s">
        <v>148</v>
      </c>
      <c r="C695" s="1" t="s">
        <v>1423</v>
      </c>
      <c r="D695" s="4">
        <v>120000</v>
      </c>
      <c r="E695" s="4">
        <v>140000</v>
      </c>
      <c r="F695" s="4">
        <v>130000</v>
      </c>
      <c r="G695" s="1" t="s">
        <v>1405</v>
      </c>
      <c r="H695" t="s">
        <v>1448</v>
      </c>
      <c r="I695" s="1" t="s">
        <v>1214</v>
      </c>
      <c r="J695" s="1" t="s">
        <v>780</v>
      </c>
      <c r="K695" s="1" t="s">
        <v>145</v>
      </c>
      <c r="L695" s="1" t="s">
        <v>74</v>
      </c>
      <c r="M695" s="1" t="s">
        <v>54</v>
      </c>
      <c r="N695" s="1" t="s">
        <v>773</v>
      </c>
      <c r="O695" s="1" t="s">
        <v>135</v>
      </c>
      <c r="P695">
        <v>18</v>
      </c>
      <c r="Q695" s="1">
        <v>0</v>
      </c>
      <c r="R695" s="1">
        <v>0</v>
      </c>
      <c r="S695" s="1">
        <v>0</v>
      </c>
      <c r="T695" s="1">
        <v>1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 t="s">
        <v>33</v>
      </c>
      <c r="AH695" s="1" t="str">
        <f t="shared" si="10"/>
        <v>Sr</v>
      </c>
      <c r="AI695" t="s">
        <v>34</v>
      </c>
      <c r="AJ695" s="4">
        <v>130</v>
      </c>
      <c r="AK695" s="1">
        <f>Table1[[#This Row],[avg_salary]]*1000</f>
        <v>130000</v>
      </c>
    </row>
    <row r="696" spans="1:37" x14ac:dyDescent="0.3">
      <c r="A696" s="1">
        <v>895</v>
      </c>
      <c r="B696" s="1" t="s">
        <v>691</v>
      </c>
      <c r="C696" s="1" t="s">
        <v>1116</v>
      </c>
      <c r="D696" s="4">
        <v>90000</v>
      </c>
      <c r="E696" s="4">
        <v>157000</v>
      </c>
      <c r="F696" s="4">
        <v>123500</v>
      </c>
      <c r="G696" s="1" t="s">
        <v>1389</v>
      </c>
      <c r="H696" t="s">
        <v>1439</v>
      </c>
      <c r="I696" s="1" t="s">
        <v>1189</v>
      </c>
      <c r="J696" s="1" t="s">
        <v>781</v>
      </c>
      <c r="K696" s="1" t="s">
        <v>64</v>
      </c>
      <c r="L696" s="1" t="s">
        <v>43</v>
      </c>
      <c r="M696" s="1" t="s">
        <v>39</v>
      </c>
      <c r="N696" s="1" t="s">
        <v>692</v>
      </c>
      <c r="O696" s="1" t="s">
        <v>67</v>
      </c>
      <c r="P696">
        <v>44</v>
      </c>
      <c r="Q696" s="1">
        <v>0</v>
      </c>
      <c r="R696" s="1">
        <v>0</v>
      </c>
      <c r="S696" s="1">
        <v>0</v>
      </c>
      <c r="T696" s="1">
        <v>1</v>
      </c>
      <c r="U696" s="1">
        <v>1</v>
      </c>
      <c r="V696" s="1">
        <v>1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1</v>
      </c>
      <c r="AC696" s="1">
        <v>0</v>
      </c>
      <c r="AD696" s="1">
        <v>0</v>
      </c>
      <c r="AE696" s="1">
        <v>1</v>
      </c>
      <c r="AF696" s="1">
        <v>0</v>
      </c>
      <c r="AG696" s="1" t="s">
        <v>88</v>
      </c>
      <c r="AH696" s="1" t="str">
        <f t="shared" si="10"/>
        <v>Sr</v>
      </c>
      <c r="AI696" t="s">
        <v>34</v>
      </c>
      <c r="AJ696" s="4">
        <v>123.5</v>
      </c>
      <c r="AK696" s="1">
        <f>Table1[[#This Row],[avg_salary]]*1000</f>
        <v>123500</v>
      </c>
    </row>
    <row r="697" spans="1:37" x14ac:dyDescent="0.3">
      <c r="A697" s="1">
        <v>896</v>
      </c>
      <c r="B697" s="1" t="s">
        <v>774</v>
      </c>
      <c r="C697" s="1" t="s">
        <v>807</v>
      </c>
      <c r="D697" s="4">
        <v>63000</v>
      </c>
      <c r="E697" s="4">
        <v>110000</v>
      </c>
      <c r="F697" s="4">
        <v>86500</v>
      </c>
      <c r="G697" s="1" t="s">
        <v>1183</v>
      </c>
      <c r="H697" t="s">
        <v>1183</v>
      </c>
      <c r="I697" s="1" t="s">
        <v>1184</v>
      </c>
      <c r="J697" s="1" t="s">
        <v>781</v>
      </c>
      <c r="K697" s="1" t="s">
        <v>103</v>
      </c>
      <c r="L697" s="1" t="s">
        <v>74</v>
      </c>
      <c r="M697" s="1" t="s">
        <v>50</v>
      </c>
      <c r="N697" s="1" t="s">
        <v>662</v>
      </c>
      <c r="O697" s="1" t="s">
        <v>56</v>
      </c>
      <c r="P697">
        <v>51</v>
      </c>
      <c r="Q697" s="1">
        <v>0</v>
      </c>
      <c r="R697" s="1">
        <v>0</v>
      </c>
      <c r="S697" s="1">
        <v>1</v>
      </c>
      <c r="T697" s="1">
        <v>1</v>
      </c>
      <c r="U697" s="1">
        <v>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 t="s">
        <v>242</v>
      </c>
      <c r="AH697" s="1" t="str">
        <f t="shared" si="10"/>
        <v>Jr</v>
      </c>
      <c r="AI697" t="s">
        <v>34</v>
      </c>
      <c r="AJ697" s="4">
        <v>86.5</v>
      </c>
      <c r="AK697" s="1">
        <f>Table1[[#This Row],[avg_salary]]*1000</f>
        <v>86500</v>
      </c>
    </row>
    <row r="698" spans="1:37" x14ac:dyDescent="0.3">
      <c r="A698" s="1">
        <v>897</v>
      </c>
      <c r="B698" s="1" t="s">
        <v>410</v>
      </c>
      <c r="C698" s="1" t="s">
        <v>944</v>
      </c>
      <c r="D698" s="4">
        <v>42000</v>
      </c>
      <c r="E698" s="4">
        <v>86000</v>
      </c>
      <c r="F698" s="4">
        <v>64000</v>
      </c>
      <c r="G698" s="1" t="s">
        <v>1318</v>
      </c>
      <c r="H698" t="s">
        <v>1439</v>
      </c>
      <c r="I698" s="1" t="s">
        <v>1189</v>
      </c>
      <c r="J698" s="1" t="s">
        <v>107</v>
      </c>
      <c r="K698" s="1" t="s">
        <v>37</v>
      </c>
      <c r="L698" s="1" t="s">
        <v>38</v>
      </c>
      <c r="M698" s="1" t="s">
        <v>50</v>
      </c>
      <c r="N698" s="1" t="s">
        <v>411</v>
      </c>
      <c r="O698" s="1" t="s">
        <v>67</v>
      </c>
      <c r="P698">
        <v>50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1</v>
      </c>
      <c r="AC698" s="1">
        <v>0</v>
      </c>
      <c r="AD698" s="1">
        <v>0</v>
      </c>
      <c r="AE698" s="1">
        <v>0</v>
      </c>
      <c r="AF698" s="1">
        <v>0</v>
      </c>
      <c r="AG698" s="1" t="s">
        <v>295</v>
      </c>
      <c r="AH698" s="1" t="str">
        <f t="shared" si="10"/>
        <v>Jr</v>
      </c>
      <c r="AI698" t="s">
        <v>34</v>
      </c>
      <c r="AJ698" s="4">
        <v>64</v>
      </c>
      <c r="AK698" s="1">
        <f>Table1[[#This Row],[avg_salary]]*1000</f>
        <v>64000</v>
      </c>
    </row>
    <row r="699" spans="1:37" x14ac:dyDescent="0.3">
      <c r="A699" s="1">
        <v>898</v>
      </c>
      <c r="B699" s="1" t="s">
        <v>693</v>
      </c>
      <c r="C699" s="1" t="s">
        <v>1117</v>
      </c>
      <c r="D699" s="4">
        <v>32000</v>
      </c>
      <c r="E699" s="4">
        <v>62000</v>
      </c>
      <c r="F699" s="4">
        <v>47000</v>
      </c>
      <c r="G699" s="1" t="s">
        <v>1183</v>
      </c>
      <c r="H699" t="s">
        <v>1183</v>
      </c>
      <c r="I699" s="1" t="s">
        <v>1184</v>
      </c>
      <c r="J699" s="1" t="s">
        <v>780</v>
      </c>
      <c r="K699" s="1" t="s">
        <v>73</v>
      </c>
      <c r="L699" s="1" t="s">
        <v>74</v>
      </c>
      <c r="M699" s="1" t="s">
        <v>121</v>
      </c>
      <c r="N699" s="1" t="s">
        <v>694</v>
      </c>
      <c r="O699" s="1" t="s">
        <v>56</v>
      </c>
      <c r="P699">
        <v>56</v>
      </c>
      <c r="Q699" s="1">
        <v>0</v>
      </c>
      <c r="R699" s="1">
        <v>1</v>
      </c>
      <c r="S699" s="1">
        <v>0</v>
      </c>
      <c r="T699" s="1">
        <v>0</v>
      </c>
      <c r="U699" s="1">
        <v>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 t="s">
        <v>88</v>
      </c>
      <c r="AH699" s="1" t="str">
        <f t="shared" si="10"/>
        <v>Jr</v>
      </c>
      <c r="AI699" t="s">
        <v>34</v>
      </c>
      <c r="AJ699" s="4">
        <v>47</v>
      </c>
      <c r="AK699" s="1">
        <f>Table1[[#This Row],[avg_salary]]*1000</f>
        <v>47000</v>
      </c>
    </row>
    <row r="700" spans="1:37" x14ac:dyDescent="0.3">
      <c r="A700" s="1">
        <v>899</v>
      </c>
      <c r="B700" s="1" t="s">
        <v>695</v>
      </c>
      <c r="C700" s="1" t="s">
        <v>1118</v>
      </c>
      <c r="D700" s="4">
        <v>116000</v>
      </c>
      <c r="E700" s="4">
        <v>208000</v>
      </c>
      <c r="F700" s="4">
        <v>162000</v>
      </c>
      <c r="G700" s="1" t="s">
        <v>1188</v>
      </c>
      <c r="H700" t="s">
        <v>1439</v>
      </c>
      <c r="I700" s="1" t="s">
        <v>1189</v>
      </c>
      <c r="J700" s="1" t="s">
        <v>781</v>
      </c>
      <c r="K700" s="1" t="s">
        <v>145</v>
      </c>
      <c r="L700" s="1" t="s">
        <v>74</v>
      </c>
      <c r="M700" s="1" t="s">
        <v>130</v>
      </c>
      <c r="N700" s="1" t="s">
        <v>696</v>
      </c>
      <c r="O700" s="1" t="s">
        <v>67</v>
      </c>
      <c r="P700">
        <v>49</v>
      </c>
      <c r="Q700" s="1">
        <v>1</v>
      </c>
      <c r="R700" s="1">
        <v>0</v>
      </c>
      <c r="S700" s="1">
        <v>0</v>
      </c>
      <c r="T700" s="1">
        <v>1</v>
      </c>
      <c r="U700" s="1">
        <v>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1</v>
      </c>
      <c r="AB700" s="1">
        <v>1</v>
      </c>
      <c r="AC700" s="1">
        <v>1</v>
      </c>
      <c r="AD700" s="1">
        <v>0</v>
      </c>
      <c r="AE700" s="1">
        <v>0</v>
      </c>
      <c r="AF700" s="1">
        <v>0</v>
      </c>
      <c r="AG700" s="1" t="s">
        <v>33</v>
      </c>
      <c r="AH700" s="1" t="str">
        <f t="shared" si="10"/>
        <v>Sr</v>
      </c>
      <c r="AI700" t="s">
        <v>34</v>
      </c>
      <c r="AJ700" s="4">
        <v>162</v>
      </c>
      <c r="AK700" s="1">
        <f>Table1[[#This Row],[avg_salary]]*1000</f>
        <v>162000</v>
      </c>
    </row>
    <row r="701" spans="1:37" x14ac:dyDescent="0.3">
      <c r="A701" s="1">
        <v>900</v>
      </c>
      <c r="B701" s="1" t="s">
        <v>671</v>
      </c>
      <c r="C701" s="1" t="s">
        <v>1031</v>
      </c>
      <c r="D701" s="4">
        <v>107000</v>
      </c>
      <c r="E701" s="4">
        <v>173000</v>
      </c>
      <c r="F701" s="4">
        <v>140000</v>
      </c>
      <c r="G701" s="1" t="s">
        <v>1386</v>
      </c>
      <c r="H701" t="s">
        <v>1436</v>
      </c>
      <c r="I701" s="1" t="s">
        <v>1178</v>
      </c>
      <c r="J701" s="1" t="s">
        <v>781</v>
      </c>
      <c r="K701" s="1" t="s">
        <v>89</v>
      </c>
      <c r="L701" s="1" t="s">
        <v>89</v>
      </c>
      <c r="M701" s="1" t="s">
        <v>84</v>
      </c>
      <c r="N701" s="1" t="s">
        <v>536</v>
      </c>
      <c r="O701" s="1" t="s">
        <v>41</v>
      </c>
      <c r="P701">
        <v>18</v>
      </c>
      <c r="Q701" s="1">
        <v>1</v>
      </c>
      <c r="R701" s="1">
        <v>0</v>
      </c>
      <c r="S701" s="1">
        <v>0</v>
      </c>
      <c r="T701" s="1">
        <v>1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 t="s">
        <v>33</v>
      </c>
      <c r="AH701" s="1" t="str">
        <f t="shared" si="10"/>
        <v>Sr</v>
      </c>
      <c r="AI701" t="s">
        <v>72</v>
      </c>
      <c r="AJ701" s="4">
        <v>140</v>
      </c>
      <c r="AK701" s="1">
        <f>Table1[[#This Row],[avg_salary]]*1000</f>
        <v>140000</v>
      </c>
    </row>
    <row r="702" spans="1:37" x14ac:dyDescent="0.3">
      <c r="A702" s="1">
        <v>901</v>
      </c>
      <c r="B702" s="1" t="s">
        <v>28</v>
      </c>
      <c r="C702" s="1" t="s">
        <v>1170</v>
      </c>
      <c r="D702" s="4">
        <v>65000</v>
      </c>
      <c r="E702" s="4">
        <v>113000</v>
      </c>
      <c r="F702" s="4">
        <v>89000</v>
      </c>
      <c r="G702" s="1" t="s">
        <v>1406</v>
      </c>
      <c r="H702" t="s">
        <v>1223</v>
      </c>
      <c r="I702" s="1" t="s">
        <v>1182</v>
      </c>
      <c r="J702" s="1" t="s">
        <v>780</v>
      </c>
      <c r="K702" s="1" t="s">
        <v>143</v>
      </c>
      <c r="L702" s="1" t="s">
        <v>74</v>
      </c>
      <c r="M702" s="1" t="s">
        <v>201</v>
      </c>
      <c r="N702" s="1" t="s">
        <v>775</v>
      </c>
      <c r="O702" s="1" t="s">
        <v>52</v>
      </c>
      <c r="P702">
        <v>21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 t="s">
        <v>33</v>
      </c>
      <c r="AH702" s="1" t="str">
        <f t="shared" si="10"/>
        <v>Jr</v>
      </c>
      <c r="AI702" t="s">
        <v>72</v>
      </c>
      <c r="AJ702" s="4">
        <v>89</v>
      </c>
      <c r="AK702" s="1">
        <f>Table1[[#This Row],[avg_salary]]*1000</f>
        <v>89000</v>
      </c>
    </row>
    <row r="703" spans="1:37" x14ac:dyDescent="0.3">
      <c r="A703" s="1">
        <v>902</v>
      </c>
      <c r="B703" s="1" t="s">
        <v>412</v>
      </c>
      <c r="C703" s="1" t="s">
        <v>945</v>
      </c>
      <c r="D703" s="4">
        <v>69000</v>
      </c>
      <c r="E703" s="4">
        <v>127000</v>
      </c>
      <c r="F703" s="4">
        <v>98000</v>
      </c>
      <c r="G703" s="1" t="s">
        <v>1319</v>
      </c>
      <c r="H703" t="s">
        <v>1463</v>
      </c>
      <c r="I703" s="1" t="s">
        <v>1295</v>
      </c>
      <c r="J703" s="1" t="s">
        <v>780</v>
      </c>
      <c r="K703" s="1" t="s">
        <v>413</v>
      </c>
      <c r="L703" s="1" t="s">
        <v>77</v>
      </c>
      <c r="M703" s="1" t="s">
        <v>84</v>
      </c>
      <c r="N703" s="1" t="s">
        <v>414</v>
      </c>
      <c r="O703" s="1" t="s">
        <v>331</v>
      </c>
      <c r="P703">
        <v>18</v>
      </c>
      <c r="Q703" s="1">
        <v>1</v>
      </c>
      <c r="R703" s="1">
        <v>0</v>
      </c>
      <c r="S703" s="1">
        <v>0</v>
      </c>
      <c r="T703" s="1">
        <v>0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 t="s">
        <v>98</v>
      </c>
      <c r="AH703" s="1" t="str">
        <f t="shared" si="10"/>
        <v>Jr</v>
      </c>
      <c r="AI703" t="s">
        <v>34</v>
      </c>
      <c r="AJ703" s="4">
        <v>98</v>
      </c>
      <c r="AK703" s="1">
        <f>Table1[[#This Row],[avg_salary]]*1000</f>
        <v>98000</v>
      </c>
    </row>
    <row r="704" spans="1:37" x14ac:dyDescent="0.3">
      <c r="A704" s="1">
        <v>904</v>
      </c>
      <c r="B704" s="1" t="s">
        <v>535</v>
      </c>
      <c r="C704" s="1" t="s">
        <v>1023</v>
      </c>
      <c r="D704" s="4">
        <v>102000</v>
      </c>
      <c r="E704" s="4">
        <v>172000</v>
      </c>
      <c r="F704" s="4">
        <v>137000</v>
      </c>
      <c r="G704" s="1" t="s">
        <v>1183</v>
      </c>
      <c r="H704" t="s">
        <v>1183</v>
      </c>
      <c r="I704" s="1" t="s">
        <v>1184</v>
      </c>
      <c r="J704" s="1" t="s">
        <v>781</v>
      </c>
      <c r="K704" s="1" t="s">
        <v>89</v>
      </c>
      <c r="L704" s="1" t="s">
        <v>89</v>
      </c>
      <c r="M704" s="1" t="s">
        <v>84</v>
      </c>
      <c r="N704" s="1" t="s">
        <v>536</v>
      </c>
      <c r="O704" s="1" t="s">
        <v>56</v>
      </c>
      <c r="P704">
        <v>30</v>
      </c>
      <c r="Q704" s="1">
        <v>1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 t="s">
        <v>33</v>
      </c>
      <c r="AH704" s="1" t="str">
        <f t="shared" si="10"/>
        <v>Sr</v>
      </c>
      <c r="AI704" t="s">
        <v>72</v>
      </c>
      <c r="AJ704" s="4">
        <v>137</v>
      </c>
      <c r="AK704" s="1">
        <f>Table1[[#This Row],[avg_salary]]*1000</f>
        <v>137000</v>
      </c>
    </row>
    <row r="705" spans="1:37" x14ac:dyDescent="0.3">
      <c r="A705" s="1">
        <v>907</v>
      </c>
      <c r="B705" s="1" t="s">
        <v>150</v>
      </c>
      <c r="C705" s="1" t="s">
        <v>864</v>
      </c>
      <c r="D705" s="4">
        <v>74000</v>
      </c>
      <c r="E705" s="4">
        <v>124000</v>
      </c>
      <c r="F705" s="4">
        <v>99000</v>
      </c>
      <c r="G705" s="1" t="s">
        <v>1201</v>
      </c>
      <c r="H705" t="s">
        <v>1443</v>
      </c>
      <c r="I705" s="1" t="s">
        <v>1202</v>
      </c>
      <c r="J705" s="1" t="s">
        <v>107</v>
      </c>
      <c r="K705" s="1" t="s">
        <v>108</v>
      </c>
      <c r="L705" s="1" t="s">
        <v>109</v>
      </c>
      <c r="M705" s="1" t="s">
        <v>50</v>
      </c>
      <c r="N705" s="1" t="s">
        <v>110</v>
      </c>
      <c r="O705" s="1" t="s">
        <v>111</v>
      </c>
      <c r="P705">
        <v>32</v>
      </c>
      <c r="Q705" s="1">
        <v>1</v>
      </c>
      <c r="R705" s="1">
        <v>0</v>
      </c>
      <c r="S705" s="1">
        <v>1</v>
      </c>
      <c r="T705" s="1">
        <v>0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 t="s">
        <v>98</v>
      </c>
      <c r="AH705" s="1" t="str">
        <f t="shared" si="10"/>
        <v>Jr</v>
      </c>
      <c r="AI705" t="s">
        <v>34</v>
      </c>
      <c r="AJ705" s="4">
        <v>99</v>
      </c>
      <c r="AK705" s="1">
        <f>Table1[[#This Row],[avg_salary]]*1000</f>
        <v>99000</v>
      </c>
    </row>
    <row r="706" spans="1:37" x14ac:dyDescent="0.3">
      <c r="A706" s="1">
        <v>909</v>
      </c>
      <c r="B706" s="1" t="s">
        <v>416</v>
      </c>
      <c r="C706" s="1" t="s">
        <v>946</v>
      </c>
      <c r="D706" s="4">
        <v>40000</v>
      </c>
      <c r="E706" s="4">
        <v>68000</v>
      </c>
      <c r="F706" s="4">
        <v>54000</v>
      </c>
      <c r="G706" s="1" t="s">
        <v>1265</v>
      </c>
      <c r="H706" t="s">
        <v>1457</v>
      </c>
      <c r="I706" s="1" t="s">
        <v>1266</v>
      </c>
      <c r="J706" s="1" t="s">
        <v>780</v>
      </c>
      <c r="K706" s="1" t="s">
        <v>407</v>
      </c>
      <c r="L706" s="1" t="s">
        <v>158</v>
      </c>
      <c r="M706" s="1" t="s">
        <v>54</v>
      </c>
      <c r="N706" s="1" t="s">
        <v>417</v>
      </c>
      <c r="O706" s="1" t="s">
        <v>249</v>
      </c>
      <c r="P706">
        <v>20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 t="s">
        <v>71</v>
      </c>
      <c r="AH706" s="1" t="str">
        <f t="shared" ref="AH706:AH743" si="11">IF(VALUE(AJ706) &gt;= 114, "Sr", "Jr")</f>
        <v>Jr</v>
      </c>
      <c r="AI706" t="s">
        <v>34</v>
      </c>
      <c r="AJ706" s="4">
        <v>54</v>
      </c>
      <c r="AK706" s="1">
        <f>Table1[[#This Row],[avg_salary]]*1000</f>
        <v>54000</v>
      </c>
    </row>
    <row r="707" spans="1:37" x14ac:dyDescent="0.3">
      <c r="A707" s="1">
        <v>910</v>
      </c>
      <c r="B707" s="1" t="s">
        <v>282</v>
      </c>
      <c r="C707" s="1" t="s">
        <v>1025</v>
      </c>
      <c r="D707" s="4">
        <v>76000</v>
      </c>
      <c r="E707" s="4">
        <v>142000</v>
      </c>
      <c r="F707" s="4">
        <v>109000</v>
      </c>
      <c r="G707" s="1" t="s">
        <v>1391</v>
      </c>
      <c r="H707" t="s">
        <v>1463</v>
      </c>
      <c r="I707" s="1" t="s">
        <v>1295</v>
      </c>
      <c r="J707" s="1" t="s">
        <v>780</v>
      </c>
      <c r="K707" s="1" t="s">
        <v>37</v>
      </c>
      <c r="L707" s="1" t="s">
        <v>38</v>
      </c>
      <c r="M707" s="1" t="s">
        <v>54</v>
      </c>
      <c r="N707" s="1" t="s">
        <v>697</v>
      </c>
      <c r="O707" s="1" t="s">
        <v>331</v>
      </c>
      <c r="P707">
        <v>20</v>
      </c>
      <c r="Q707" s="1">
        <v>0</v>
      </c>
      <c r="R707" s="1">
        <v>0</v>
      </c>
      <c r="S707" s="1">
        <v>1</v>
      </c>
      <c r="T707" s="1">
        <v>1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 t="s">
        <v>98</v>
      </c>
      <c r="AH707" s="1" t="str">
        <f t="shared" si="11"/>
        <v>Jr</v>
      </c>
      <c r="AI707" t="s">
        <v>72</v>
      </c>
      <c r="AJ707" s="4">
        <v>109</v>
      </c>
      <c r="AK707" s="1">
        <f>Table1[[#This Row],[avg_salary]]*1000</f>
        <v>109000</v>
      </c>
    </row>
    <row r="708" spans="1:37" x14ac:dyDescent="0.3">
      <c r="A708" s="1">
        <v>911</v>
      </c>
      <c r="B708" s="1" t="s">
        <v>150</v>
      </c>
      <c r="C708" s="1" t="s">
        <v>1025</v>
      </c>
      <c r="D708" s="4">
        <v>76000</v>
      </c>
      <c r="E708" s="4">
        <v>142000</v>
      </c>
      <c r="F708" s="4">
        <v>109000</v>
      </c>
      <c r="G708" s="1" t="s">
        <v>1279</v>
      </c>
      <c r="H708" t="s">
        <v>1436</v>
      </c>
      <c r="I708" s="1" t="s">
        <v>1178</v>
      </c>
      <c r="J708" s="1" t="s">
        <v>780</v>
      </c>
      <c r="K708" s="1" t="s">
        <v>143</v>
      </c>
      <c r="L708" s="1" t="s">
        <v>74</v>
      </c>
      <c r="M708" s="1" t="s">
        <v>65</v>
      </c>
      <c r="N708" s="1" t="s">
        <v>538</v>
      </c>
      <c r="O708" s="1" t="s">
        <v>41</v>
      </c>
      <c r="P708">
        <v>55</v>
      </c>
      <c r="Q708" s="1">
        <v>0</v>
      </c>
      <c r="R708" s="1">
        <v>0</v>
      </c>
      <c r="S708" s="1">
        <v>1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 t="s">
        <v>98</v>
      </c>
      <c r="AH708" s="1" t="str">
        <f t="shared" si="11"/>
        <v>Jr</v>
      </c>
      <c r="AI708" t="s">
        <v>34</v>
      </c>
      <c r="AJ708" s="4">
        <v>109</v>
      </c>
      <c r="AK708" s="1">
        <f>Table1[[#This Row],[avg_salary]]*1000</f>
        <v>109000</v>
      </c>
    </row>
    <row r="709" spans="1:37" x14ac:dyDescent="0.3">
      <c r="A709" s="1">
        <v>912</v>
      </c>
      <c r="B709" s="1" t="s">
        <v>148</v>
      </c>
      <c r="C709" s="1" t="s">
        <v>1024</v>
      </c>
      <c r="D709" s="4">
        <v>108000</v>
      </c>
      <c r="E709" s="4">
        <v>171000</v>
      </c>
      <c r="F709" s="4">
        <v>139500</v>
      </c>
      <c r="G709" s="1" t="s">
        <v>1358</v>
      </c>
      <c r="H709" t="s">
        <v>1441</v>
      </c>
      <c r="I709" s="1" t="s">
        <v>1196</v>
      </c>
      <c r="J709" s="1" t="s">
        <v>780</v>
      </c>
      <c r="K709" s="1" t="s">
        <v>145</v>
      </c>
      <c r="L709" s="1" t="s">
        <v>74</v>
      </c>
      <c r="M709" s="1" t="s">
        <v>58</v>
      </c>
      <c r="N709" s="1" t="s">
        <v>537</v>
      </c>
      <c r="O709" s="1" t="s">
        <v>91</v>
      </c>
      <c r="P709">
        <v>60</v>
      </c>
      <c r="Q709" s="1">
        <v>1</v>
      </c>
      <c r="R709" s="1">
        <v>0</v>
      </c>
      <c r="S709" s="1">
        <v>0</v>
      </c>
      <c r="T709" s="1">
        <v>0</v>
      </c>
      <c r="U709" s="1">
        <v>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1</v>
      </c>
      <c r="AC709" s="1">
        <v>1</v>
      </c>
      <c r="AD709" s="1">
        <v>0</v>
      </c>
      <c r="AE709" s="1">
        <v>0</v>
      </c>
      <c r="AF709" s="1">
        <v>0</v>
      </c>
      <c r="AG709" s="1" t="s">
        <v>33</v>
      </c>
      <c r="AH709" s="1" t="str">
        <f t="shared" si="11"/>
        <v>Sr</v>
      </c>
      <c r="AI709" t="s">
        <v>34</v>
      </c>
      <c r="AJ709" s="4">
        <v>139.5</v>
      </c>
      <c r="AK709" s="1">
        <f>Table1[[#This Row],[avg_salary]]*1000</f>
        <v>139500</v>
      </c>
    </row>
    <row r="710" spans="1:37" x14ac:dyDescent="0.3">
      <c r="A710" s="1">
        <v>913</v>
      </c>
      <c r="B710" s="1" t="s">
        <v>539</v>
      </c>
      <c r="C710" s="1" t="s">
        <v>1026</v>
      </c>
      <c r="D710" s="4">
        <v>202000</v>
      </c>
      <c r="E710" s="4">
        <v>306000</v>
      </c>
      <c r="F710" s="4">
        <v>254000</v>
      </c>
      <c r="G710" s="1" t="s">
        <v>1203</v>
      </c>
      <c r="H710" t="s">
        <v>1444</v>
      </c>
      <c r="I710" s="1" t="s">
        <v>1204</v>
      </c>
      <c r="J710" s="1" t="s">
        <v>780</v>
      </c>
      <c r="K710" s="1" t="s">
        <v>108</v>
      </c>
      <c r="L710" s="1" t="s">
        <v>109</v>
      </c>
      <c r="M710" s="1" t="s">
        <v>84</v>
      </c>
      <c r="N710" s="1" t="s">
        <v>174</v>
      </c>
      <c r="O710" s="1" t="s">
        <v>120</v>
      </c>
      <c r="P710">
        <v>45</v>
      </c>
      <c r="Q710" s="1">
        <v>1</v>
      </c>
      <c r="R710" s="1">
        <v>0</v>
      </c>
      <c r="S710" s="1">
        <v>0</v>
      </c>
      <c r="T710" s="1">
        <v>0</v>
      </c>
      <c r="U710" s="1">
        <v>0</v>
      </c>
      <c r="V710" s="1">
        <v>1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 t="s">
        <v>33</v>
      </c>
      <c r="AH710" s="1" t="str">
        <f t="shared" si="11"/>
        <v>Sr</v>
      </c>
      <c r="AI710" t="s">
        <v>34</v>
      </c>
      <c r="AJ710" s="4">
        <v>254</v>
      </c>
      <c r="AK710" s="1">
        <f>Table1[[#This Row],[avg_salary]]*1000</f>
        <v>254000</v>
      </c>
    </row>
    <row r="711" spans="1:37" x14ac:dyDescent="0.3">
      <c r="A711" s="1">
        <v>914</v>
      </c>
      <c r="B711" s="1" t="s">
        <v>304</v>
      </c>
      <c r="C711" s="1" t="s">
        <v>1120</v>
      </c>
      <c r="D711" s="4">
        <v>91000</v>
      </c>
      <c r="E711" s="4">
        <v>159000</v>
      </c>
      <c r="F711" s="4">
        <v>125000</v>
      </c>
      <c r="G711" s="1" t="s">
        <v>1183</v>
      </c>
      <c r="H711" t="s">
        <v>1183</v>
      </c>
      <c r="I711" s="1" t="s">
        <v>1184</v>
      </c>
      <c r="J711" s="1" t="s">
        <v>780</v>
      </c>
      <c r="K711" s="1" t="s">
        <v>145</v>
      </c>
      <c r="L711" s="1" t="s">
        <v>74</v>
      </c>
      <c r="M711" s="1" t="s">
        <v>54</v>
      </c>
      <c r="N711" s="1" t="s">
        <v>698</v>
      </c>
      <c r="O711" s="1" t="s">
        <v>56</v>
      </c>
      <c r="P711">
        <v>43</v>
      </c>
      <c r="Q711" s="1">
        <v>1</v>
      </c>
      <c r="R711" s="1">
        <v>0</v>
      </c>
      <c r="S711" s="1">
        <v>1</v>
      </c>
      <c r="T711" s="1">
        <v>1</v>
      </c>
      <c r="U711" s="1">
        <v>1</v>
      </c>
      <c r="V711" s="1">
        <v>0</v>
      </c>
      <c r="W711" s="1">
        <v>0</v>
      </c>
      <c r="X711" s="1">
        <v>1</v>
      </c>
      <c r="Y711" s="1">
        <v>0</v>
      </c>
      <c r="Z711" s="1">
        <v>1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 t="s">
        <v>306</v>
      </c>
      <c r="AH711" s="1" t="str">
        <f t="shared" si="11"/>
        <v>Sr</v>
      </c>
      <c r="AI711" t="s">
        <v>34</v>
      </c>
      <c r="AJ711" s="4">
        <v>125</v>
      </c>
      <c r="AK711" s="1">
        <f>Table1[[#This Row],[avg_salary]]*1000</f>
        <v>125000</v>
      </c>
    </row>
    <row r="712" spans="1:37" x14ac:dyDescent="0.3">
      <c r="A712" s="1">
        <v>916</v>
      </c>
      <c r="B712" s="1" t="s">
        <v>699</v>
      </c>
      <c r="C712" s="1" t="s">
        <v>1121</v>
      </c>
      <c r="D712" s="4">
        <v>80000</v>
      </c>
      <c r="E712" s="4">
        <v>133000</v>
      </c>
      <c r="F712" s="4">
        <v>106500</v>
      </c>
      <c r="G712" s="1" t="s">
        <v>1195</v>
      </c>
      <c r="H712" t="s">
        <v>1441</v>
      </c>
      <c r="I712" s="1" t="s">
        <v>1196</v>
      </c>
      <c r="J712" s="1" t="s">
        <v>781</v>
      </c>
      <c r="K712" s="1" t="s">
        <v>89</v>
      </c>
      <c r="L712" s="1" t="s">
        <v>89</v>
      </c>
      <c r="M712" s="1" t="s">
        <v>84</v>
      </c>
      <c r="N712" s="1" t="s">
        <v>137</v>
      </c>
      <c r="O712" s="1" t="s">
        <v>91</v>
      </c>
      <c r="P712">
        <v>24</v>
      </c>
      <c r="Q712" s="1">
        <v>1</v>
      </c>
      <c r="R712" s="1">
        <v>0</v>
      </c>
      <c r="S712" s="1">
        <v>0</v>
      </c>
      <c r="T712" s="1">
        <v>0</v>
      </c>
      <c r="U712" s="1">
        <v>1</v>
      </c>
      <c r="V712" s="1">
        <v>1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1</v>
      </c>
      <c r="AC712" s="1">
        <v>1</v>
      </c>
      <c r="AD712" s="1">
        <v>0</v>
      </c>
      <c r="AE712" s="1">
        <v>0</v>
      </c>
      <c r="AF712" s="1">
        <v>0</v>
      </c>
      <c r="AG712" s="1" t="s">
        <v>33</v>
      </c>
      <c r="AH712" s="1" t="str">
        <f t="shared" si="11"/>
        <v>Jr</v>
      </c>
      <c r="AI712" t="s">
        <v>34</v>
      </c>
      <c r="AJ712" s="4">
        <v>106.5</v>
      </c>
      <c r="AK712" s="1">
        <f>Table1[[#This Row],[avg_salary]]*1000</f>
        <v>106500</v>
      </c>
    </row>
    <row r="713" spans="1:37" x14ac:dyDescent="0.3">
      <c r="A713" s="1">
        <v>919</v>
      </c>
      <c r="B713" s="1" t="s">
        <v>415</v>
      </c>
      <c r="C713" s="1" t="s">
        <v>1425</v>
      </c>
      <c r="D713" s="4">
        <v>43000</v>
      </c>
      <c r="E713" s="4">
        <v>70000</v>
      </c>
      <c r="F713" s="4">
        <v>56500</v>
      </c>
      <c r="G713" s="1" t="s">
        <v>1320</v>
      </c>
      <c r="H713" t="s">
        <v>1464</v>
      </c>
      <c r="I713" s="1" t="s">
        <v>1308</v>
      </c>
      <c r="J713" s="1" t="s">
        <v>107</v>
      </c>
      <c r="K713" s="1" t="s">
        <v>37</v>
      </c>
      <c r="L713" s="1" t="s">
        <v>38</v>
      </c>
      <c r="M713" s="1" t="s">
        <v>44</v>
      </c>
      <c r="N713" s="1" t="s">
        <v>369</v>
      </c>
      <c r="O713" s="1" t="s">
        <v>370</v>
      </c>
      <c r="P713">
        <v>52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 t="s">
        <v>71</v>
      </c>
      <c r="AH713" s="1" t="str">
        <f t="shared" si="11"/>
        <v>Jr</v>
      </c>
      <c r="AI713" t="s">
        <v>34</v>
      </c>
      <c r="AJ713" s="4">
        <v>56.5</v>
      </c>
      <c r="AK713" s="1">
        <f>Table1[[#This Row],[avg_salary]]*1000</f>
        <v>56500</v>
      </c>
    </row>
    <row r="714" spans="1:37" x14ac:dyDescent="0.3">
      <c r="A714" s="1">
        <v>920</v>
      </c>
      <c r="B714" s="1" t="s">
        <v>540</v>
      </c>
      <c r="C714" s="1" t="s">
        <v>1027</v>
      </c>
      <c r="D714" s="4">
        <v>49000</v>
      </c>
      <c r="E714" s="4">
        <v>97000</v>
      </c>
      <c r="F714" s="4">
        <v>73000</v>
      </c>
      <c r="G714" s="1" t="s">
        <v>1297</v>
      </c>
      <c r="H714" t="s">
        <v>1439</v>
      </c>
      <c r="I714" s="1" t="s">
        <v>1189</v>
      </c>
      <c r="J714" s="1" t="s">
        <v>93</v>
      </c>
      <c r="K714" s="1" t="s">
        <v>89</v>
      </c>
      <c r="L714" s="1" t="s">
        <v>89</v>
      </c>
      <c r="M714" s="1" t="s">
        <v>54</v>
      </c>
      <c r="N714" s="1" t="s">
        <v>541</v>
      </c>
      <c r="O714" s="1" t="s">
        <v>67</v>
      </c>
      <c r="P714">
        <v>36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 t="s">
        <v>71</v>
      </c>
      <c r="AH714" s="1" t="str">
        <f t="shared" si="11"/>
        <v>Jr</v>
      </c>
      <c r="AI714" t="s">
        <v>72</v>
      </c>
      <c r="AJ714" s="4">
        <v>73</v>
      </c>
      <c r="AK714" s="1">
        <f>Table1[[#This Row],[avg_salary]]*1000</f>
        <v>73000</v>
      </c>
    </row>
    <row r="715" spans="1:37" x14ac:dyDescent="0.3">
      <c r="A715" s="1">
        <v>921</v>
      </c>
      <c r="B715" s="1" t="s">
        <v>418</v>
      </c>
      <c r="C715" s="1" t="s">
        <v>947</v>
      </c>
      <c r="D715" s="4">
        <v>49000</v>
      </c>
      <c r="E715" s="4">
        <v>113000</v>
      </c>
      <c r="F715" s="4">
        <v>81000</v>
      </c>
      <c r="G715" s="1" t="s">
        <v>1279</v>
      </c>
      <c r="H715" t="s">
        <v>1436</v>
      </c>
      <c r="I715" s="1" t="s">
        <v>1178</v>
      </c>
      <c r="J715" s="1" t="s">
        <v>780</v>
      </c>
      <c r="K715" s="1" t="s">
        <v>89</v>
      </c>
      <c r="L715" s="1" t="s">
        <v>89</v>
      </c>
      <c r="M715" s="1" t="s">
        <v>65</v>
      </c>
      <c r="N715" s="1" t="s">
        <v>419</v>
      </c>
      <c r="O715" s="1" t="s">
        <v>41</v>
      </c>
      <c r="P715">
        <v>20</v>
      </c>
      <c r="Q715" s="1">
        <v>0</v>
      </c>
      <c r="R715" s="1">
        <v>0</v>
      </c>
      <c r="S715" s="1">
        <v>0</v>
      </c>
      <c r="T715" s="1">
        <v>1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 t="s">
        <v>71</v>
      </c>
      <c r="AH715" s="1" t="str">
        <f t="shared" si="11"/>
        <v>Jr</v>
      </c>
      <c r="AI715" t="s">
        <v>72</v>
      </c>
      <c r="AJ715" s="4">
        <v>81</v>
      </c>
      <c r="AK715" s="1">
        <f>Table1[[#This Row],[avg_salary]]*1000</f>
        <v>81000</v>
      </c>
    </row>
    <row r="716" spans="1:37" x14ac:dyDescent="0.3">
      <c r="A716" s="1">
        <v>924</v>
      </c>
      <c r="B716" s="1" t="s">
        <v>28</v>
      </c>
      <c r="C716" s="1" t="s">
        <v>839</v>
      </c>
      <c r="D716" s="4">
        <v>96000</v>
      </c>
      <c r="E716" s="4">
        <v>161000</v>
      </c>
      <c r="F716" s="4">
        <v>128500</v>
      </c>
      <c r="G716" s="1" t="s">
        <v>1245</v>
      </c>
      <c r="H716" t="s">
        <v>1453</v>
      </c>
      <c r="I716" s="1" t="s">
        <v>1241</v>
      </c>
      <c r="J716" s="1" t="s">
        <v>780</v>
      </c>
      <c r="K716" s="1" t="s">
        <v>200</v>
      </c>
      <c r="L716" s="1" t="s">
        <v>43</v>
      </c>
      <c r="M716" s="1" t="s">
        <v>201</v>
      </c>
      <c r="N716" s="1" t="s">
        <v>202</v>
      </c>
      <c r="O716" s="1" t="s">
        <v>194</v>
      </c>
      <c r="P716">
        <v>33</v>
      </c>
      <c r="Q716" s="1">
        <v>1</v>
      </c>
      <c r="R716" s="1">
        <v>1</v>
      </c>
      <c r="S716" s="1">
        <v>1</v>
      </c>
      <c r="T716" s="1">
        <v>0</v>
      </c>
      <c r="U716" s="1">
        <v>1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 t="s">
        <v>33</v>
      </c>
      <c r="AH716" s="1" t="str">
        <f t="shared" si="11"/>
        <v>Sr</v>
      </c>
      <c r="AI716" t="s">
        <v>34</v>
      </c>
      <c r="AJ716" s="4">
        <v>128.5</v>
      </c>
      <c r="AK716" s="1">
        <f>Table1[[#This Row],[avg_salary]]*1000</f>
        <v>128500</v>
      </c>
    </row>
    <row r="717" spans="1:37" x14ac:dyDescent="0.3">
      <c r="A717" s="1">
        <v>926</v>
      </c>
      <c r="B717" s="1" t="s">
        <v>542</v>
      </c>
      <c r="C717" s="1" t="s">
        <v>1028</v>
      </c>
      <c r="D717" s="4">
        <v>65000</v>
      </c>
      <c r="E717" s="4">
        <v>134000</v>
      </c>
      <c r="F717" s="4">
        <v>99500</v>
      </c>
      <c r="G717" s="1" t="s">
        <v>1359</v>
      </c>
      <c r="H717" t="s">
        <v>1458</v>
      </c>
      <c r="I717" s="1" t="s">
        <v>1271</v>
      </c>
      <c r="J717" s="1" t="s">
        <v>780</v>
      </c>
      <c r="K717" s="1" t="s">
        <v>157</v>
      </c>
      <c r="L717" s="1" t="s">
        <v>158</v>
      </c>
      <c r="M717" s="1" t="s">
        <v>84</v>
      </c>
      <c r="N717" s="1" t="s">
        <v>519</v>
      </c>
      <c r="O717" s="1" t="s">
        <v>259</v>
      </c>
      <c r="P717">
        <v>26</v>
      </c>
      <c r="Q717" s="1">
        <v>0</v>
      </c>
      <c r="R717" s="1">
        <v>0</v>
      </c>
      <c r="S717" s="1">
        <v>0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 t="s">
        <v>71</v>
      </c>
      <c r="AH717" s="1" t="str">
        <f t="shared" si="11"/>
        <v>Jr</v>
      </c>
      <c r="AI717" t="s">
        <v>72</v>
      </c>
      <c r="AJ717" s="4">
        <v>99.5</v>
      </c>
      <c r="AK717" s="1">
        <f>Table1[[#This Row],[avg_salary]]*1000</f>
        <v>99500</v>
      </c>
    </row>
    <row r="718" spans="1:37" x14ac:dyDescent="0.3">
      <c r="A718" s="1">
        <v>928</v>
      </c>
      <c r="B718" s="1" t="s">
        <v>776</v>
      </c>
      <c r="C718" s="1" t="s">
        <v>1171</v>
      </c>
      <c r="D718" s="4">
        <v>59000</v>
      </c>
      <c r="E718" s="4">
        <v>125000</v>
      </c>
      <c r="F718" s="4">
        <v>92000</v>
      </c>
      <c r="G718" s="1" t="s">
        <v>1297</v>
      </c>
      <c r="H718" t="s">
        <v>1439</v>
      </c>
      <c r="I718" s="1" t="s">
        <v>1189</v>
      </c>
      <c r="J718" s="1" t="s">
        <v>780</v>
      </c>
      <c r="K718" s="1" t="s">
        <v>89</v>
      </c>
      <c r="L718" s="1" t="s">
        <v>89</v>
      </c>
      <c r="M718" s="1" t="s">
        <v>54</v>
      </c>
      <c r="N718" s="1" t="s">
        <v>777</v>
      </c>
      <c r="O718" s="1" t="s">
        <v>67</v>
      </c>
      <c r="P718">
        <v>30</v>
      </c>
      <c r="Q718" s="1">
        <v>0</v>
      </c>
      <c r="R718" s="1">
        <v>0</v>
      </c>
      <c r="S718" s="1">
        <v>1</v>
      </c>
      <c r="T718" s="1">
        <v>1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 t="s">
        <v>71</v>
      </c>
      <c r="AH718" s="1" t="str">
        <f t="shared" si="11"/>
        <v>Jr</v>
      </c>
      <c r="AI718" t="s">
        <v>34</v>
      </c>
      <c r="AJ718" s="4">
        <v>92</v>
      </c>
      <c r="AK718" s="1">
        <f>Table1[[#This Row],[avg_salary]]*1000</f>
        <v>92000</v>
      </c>
    </row>
    <row r="719" spans="1:37" x14ac:dyDescent="0.3">
      <c r="A719" s="1">
        <v>929</v>
      </c>
      <c r="B719" s="1" t="s">
        <v>543</v>
      </c>
      <c r="C719" s="1" t="s">
        <v>1029</v>
      </c>
      <c r="D719" s="4">
        <v>32000</v>
      </c>
      <c r="E719" s="4">
        <v>59000</v>
      </c>
      <c r="F719" s="4">
        <v>45500</v>
      </c>
      <c r="G719" s="1" t="s">
        <v>1360</v>
      </c>
      <c r="H719" t="s">
        <v>1450</v>
      </c>
      <c r="I719" s="1" t="s">
        <v>1228</v>
      </c>
      <c r="J719" s="1" t="s">
        <v>780</v>
      </c>
      <c r="K719" s="1" t="s">
        <v>108</v>
      </c>
      <c r="L719" s="1" t="s">
        <v>109</v>
      </c>
      <c r="M719" s="1" t="s">
        <v>50</v>
      </c>
      <c r="N719" s="1" t="s">
        <v>544</v>
      </c>
      <c r="O719" s="1" t="s">
        <v>168</v>
      </c>
      <c r="P719">
        <v>29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 t="s">
        <v>88</v>
      </c>
      <c r="AH719" s="1" t="str">
        <f t="shared" si="11"/>
        <v>Jr</v>
      </c>
      <c r="AI719" t="s">
        <v>34</v>
      </c>
      <c r="AJ719" s="4">
        <v>45.5</v>
      </c>
      <c r="AK719" s="1">
        <f>Table1[[#This Row],[avg_salary]]*1000</f>
        <v>45500</v>
      </c>
    </row>
    <row r="720" spans="1:37" x14ac:dyDescent="0.3">
      <c r="A720" s="1">
        <v>930</v>
      </c>
      <c r="B720" s="1" t="s">
        <v>420</v>
      </c>
      <c r="C720" s="1" t="s">
        <v>1030</v>
      </c>
      <c r="D720" s="4">
        <v>87000</v>
      </c>
      <c r="E720" s="4">
        <v>158000</v>
      </c>
      <c r="F720" s="4">
        <v>122500</v>
      </c>
      <c r="G720" s="1" t="s">
        <v>1247</v>
      </c>
      <c r="H720" t="s">
        <v>1455</v>
      </c>
      <c r="I720" s="1" t="s">
        <v>1248</v>
      </c>
      <c r="J720" s="1" t="s">
        <v>780</v>
      </c>
      <c r="K720" s="1" t="s">
        <v>64</v>
      </c>
      <c r="L720" s="1" t="s">
        <v>43</v>
      </c>
      <c r="M720" s="1" t="s">
        <v>65</v>
      </c>
      <c r="N720" s="1" t="s">
        <v>545</v>
      </c>
      <c r="O720" s="1" t="s">
        <v>207</v>
      </c>
      <c r="P720">
        <v>50</v>
      </c>
      <c r="Q720" s="1">
        <v>1</v>
      </c>
      <c r="R720" s="1">
        <v>1</v>
      </c>
      <c r="S720" s="1">
        <v>1</v>
      </c>
      <c r="T720" s="1">
        <v>0</v>
      </c>
      <c r="U720" s="1">
        <v>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1</v>
      </c>
      <c r="AB720" s="1">
        <v>0</v>
      </c>
      <c r="AC720" s="1">
        <v>0</v>
      </c>
      <c r="AD720" s="1">
        <v>0</v>
      </c>
      <c r="AE720" s="1">
        <v>1</v>
      </c>
      <c r="AF720" s="1">
        <v>0</v>
      </c>
      <c r="AG720" s="1" t="s">
        <v>98</v>
      </c>
      <c r="AH720" s="1" t="str">
        <f t="shared" si="11"/>
        <v>Sr</v>
      </c>
      <c r="AI720" t="s">
        <v>34</v>
      </c>
      <c r="AJ720" s="4">
        <v>122.5</v>
      </c>
      <c r="AK720" s="1">
        <f>Table1[[#This Row],[avg_salary]]*1000</f>
        <v>122500</v>
      </c>
    </row>
    <row r="721" spans="1:37" x14ac:dyDescent="0.3">
      <c r="A721" s="1">
        <v>931</v>
      </c>
      <c r="B721" s="1" t="s">
        <v>500</v>
      </c>
      <c r="C721" s="1" t="s">
        <v>1123</v>
      </c>
      <c r="D721" s="4">
        <v>27000</v>
      </c>
      <c r="E721" s="4">
        <v>48000</v>
      </c>
      <c r="F721" s="4">
        <v>37500</v>
      </c>
      <c r="G721" s="1" t="s">
        <v>1291</v>
      </c>
      <c r="H721" t="s">
        <v>1437</v>
      </c>
      <c r="I721" s="1" t="s">
        <v>1180</v>
      </c>
      <c r="J721" s="1" t="s">
        <v>93</v>
      </c>
      <c r="K721" s="1" t="s">
        <v>103</v>
      </c>
      <c r="L721" s="1" t="s">
        <v>74</v>
      </c>
      <c r="M721" s="1" t="s">
        <v>44</v>
      </c>
      <c r="N721" s="1" t="s">
        <v>701</v>
      </c>
      <c r="O721" s="1" t="s">
        <v>46</v>
      </c>
      <c r="P721">
        <v>42</v>
      </c>
      <c r="Q721" s="1">
        <v>0</v>
      </c>
      <c r="R721" s="1">
        <v>0</v>
      </c>
      <c r="S721" s="1">
        <v>0</v>
      </c>
      <c r="T721" s="1">
        <v>1</v>
      </c>
      <c r="U721" s="1">
        <v>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 t="s">
        <v>88</v>
      </c>
      <c r="AH721" s="1" t="str">
        <f t="shared" si="11"/>
        <v>Jr</v>
      </c>
      <c r="AI721" t="s">
        <v>34</v>
      </c>
      <c r="AJ721" s="4">
        <v>37.5</v>
      </c>
      <c r="AK721" s="1">
        <f>Table1[[#This Row],[avg_salary]]*1000</f>
        <v>37500</v>
      </c>
    </row>
    <row r="722" spans="1:37" x14ac:dyDescent="0.3">
      <c r="A722" s="1">
        <v>932</v>
      </c>
      <c r="B722" s="1" t="s">
        <v>700</v>
      </c>
      <c r="C722" s="1" t="s">
        <v>1122</v>
      </c>
      <c r="D722" s="4">
        <v>39000</v>
      </c>
      <c r="E722" s="4">
        <v>69000</v>
      </c>
      <c r="F722" s="4">
        <v>54000</v>
      </c>
      <c r="G722" s="1" t="s">
        <v>1210</v>
      </c>
      <c r="H722" t="s">
        <v>1441</v>
      </c>
      <c r="I722" s="1" t="s">
        <v>1196</v>
      </c>
      <c r="J722" s="1" t="s">
        <v>781</v>
      </c>
      <c r="K722" s="1" t="s">
        <v>108</v>
      </c>
      <c r="L722" s="1" t="s">
        <v>109</v>
      </c>
      <c r="M722" s="1" t="s">
        <v>130</v>
      </c>
      <c r="N722" s="1" t="s">
        <v>131</v>
      </c>
      <c r="O722" s="1" t="s">
        <v>91</v>
      </c>
      <c r="P722">
        <v>26</v>
      </c>
      <c r="Q722" s="1">
        <v>0</v>
      </c>
      <c r="R722" s="1">
        <v>0</v>
      </c>
      <c r="S722" s="1">
        <v>0</v>
      </c>
      <c r="T722" s="1">
        <v>0</v>
      </c>
      <c r="U722" s="1">
        <v>1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 t="s">
        <v>88</v>
      </c>
      <c r="AH722" s="1" t="str">
        <f t="shared" si="11"/>
        <v>Jr</v>
      </c>
      <c r="AI722" t="s">
        <v>34</v>
      </c>
      <c r="AJ722" s="4">
        <v>54</v>
      </c>
      <c r="AK722" s="1">
        <f>Table1[[#This Row],[avg_salary]]*1000</f>
        <v>54000</v>
      </c>
    </row>
    <row r="723" spans="1:37" x14ac:dyDescent="0.3">
      <c r="A723" s="1">
        <v>933</v>
      </c>
      <c r="B723" s="1" t="s">
        <v>702</v>
      </c>
      <c r="C723" s="1" t="s">
        <v>1124</v>
      </c>
      <c r="D723" s="4">
        <v>36000</v>
      </c>
      <c r="E723" s="4">
        <v>71000</v>
      </c>
      <c r="F723" s="4">
        <v>53500</v>
      </c>
      <c r="G723" s="1" t="s">
        <v>1183</v>
      </c>
      <c r="H723" t="s">
        <v>1183</v>
      </c>
      <c r="I723" s="1" t="s">
        <v>1184</v>
      </c>
      <c r="J723" s="1" t="s">
        <v>780</v>
      </c>
      <c r="K723" s="1" t="s">
        <v>311</v>
      </c>
      <c r="L723" s="1" t="s">
        <v>312</v>
      </c>
      <c r="M723" s="1" t="s">
        <v>39</v>
      </c>
      <c r="N723" s="1" t="s">
        <v>427</v>
      </c>
      <c r="O723" s="1" t="s">
        <v>56</v>
      </c>
      <c r="P723">
        <v>33</v>
      </c>
      <c r="Q723" s="1">
        <v>1</v>
      </c>
      <c r="R723" s="1">
        <v>0</v>
      </c>
      <c r="S723" s="1">
        <v>0</v>
      </c>
      <c r="T723" s="1">
        <v>1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1</v>
      </c>
      <c r="AG723" s="1" t="s">
        <v>88</v>
      </c>
      <c r="AH723" s="1" t="str">
        <f t="shared" si="11"/>
        <v>Jr</v>
      </c>
      <c r="AI723" t="s">
        <v>34</v>
      </c>
      <c r="AJ723" s="4">
        <v>53.5</v>
      </c>
      <c r="AK723" s="1">
        <f>Table1[[#This Row],[avg_salary]]*1000</f>
        <v>53500</v>
      </c>
    </row>
    <row r="724" spans="1:37" x14ac:dyDescent="0.3">
      <c r="A724" s="1">
        <v>934</v>
      </c>
      <c r="B724" s="1" t="s">
        <v>546</v>
      </c>
      <c r="C724" s="1" t="s">
        <v>1031</v>
      </c>
      <c r="D724" s="4">
        <v>107000</v>
      </c>
      <c r="E724" s="4">
        <v>173000</v>
      </c>
      <c r="F724" s="4">
        <v>140000</v>
      </c>
      <c r="G724" s="1" t="s">
        <v>1203</v>
      </c>
      <c r="H724" t="s">
        <v>1444</v>
      </c>
      <c r="I724" s="1" t="s">
        <v>1204</v>
      </c>
      <c r="J724" s="1" t="s">
        <v>781</v>
      </c>
      <c r="K724" s="1" t="s">
        <v>238</v>
      </c>
      <c r="L724" s="1" t="s">
        <v>62</v>
      </c>
      <c r="M724" s="1" t="s">
        <v>58</v>
      </c>
      <c r="N724" s="1" t="s">
        <v>239</v>
      </c>
      <c r="O724" s="1" t="s">
        <v>120</v>
      </c>
      <c r="P724">
        <v>46</v>
      </c>
      <c r="Q724" s="1">
        <v>1</v>
      </c>
      <c r="R724" s="1">
        <v>0</v>
      </c>
      <c r="S724" s="1">
        <v>0</v>
      </c>
      <c r="T724" s="1">
        <v>1</v>
      </c>
      <c r="U724" s="1">
        <v>1</v>
      </c>
      <c r="V724" s="1">
        <v>1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 t="s">
        <v>33</v>
      </c>
      <c r="AH724" s="1" t="str">
        <f t="shared" si="11"/>
        <v>Sr</v>
      </c>
      <c r="AI724" t="s">
        <v>34</v>
      </c>
      <c r="AJ724" s="4">
        <v>140</v>
      </c>
      <c r="AK724" s="1">
        <f>Table1[[#This Row],[avg_salary]]*1000</f>
        <v>140000</v>
      </c>
    </row>
    <row r="725" spans="1:37" x14ac:dyDescent="0.3">
      <c r="A725" s="1">
        <v>935</v>
      </c>
      <c r="B725" s="1" t="s">
        <v>547</v>
      </c>
      <c r="C725" s="1" t="s">
        <v>1032</v>
      </c>
      <c r="D725" s="4">
        <v>56000</v>
      </c>
      <c r="E725" s="4">
        <v>99000</v>
      </c>
      <c r="F725" s="4">
        <v>77500</v>
      </c>
      <c r="G725" s="1" t="s">
        <v>1361</v>
      </c>
      <c r="H725" t="s">
        <v>1440</v>
      </c>
      <c r="I725" s="1" t="s">
        <v>1192</v>
      </c>
      <c r="J725" s="1" t="s">
        <v>107</v>
      </c>
      <c r="K725" s="1" t="s">
        <v>246</v>
      </c>
      <c r="L725" s="1" t="s">
        <v>47</v>
      </c>
      <c r="M725" s="1" t="s">
        <v>58</v>
      </c>
      <c r="N725" s="1" t="s">
        <v>247</v>
      </c>
      <c r="O725" s="1" t="s">
        <v>81</v>
      </c>
      <c r="P725">
        <v>42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 t="s">
        <v>33</v>
      </c>
      <c r="AH725" s="1" t="str">
        <f t="shared" si="11"/>
        <v>Jr</v>
      </c>
      <c r="AI725" t="s">
        <v>72</v>
      </c>
      <c r="AJ725" s="4">
        <v>77.5</v>
      </c>
      <c r="AK725" s="1">
        <f>Table1[[#This Row],[avg_salary]]*1000</f>
        <v>77500</v>
      </c>
    </row>
    <row r="726" spans="1:37" x14ac:dyDescent="0.3">
      <c r="A726" s="1">
        <v>936</v>
      </c>
      <c r="B726" s="1" t="s">
        <v>548</v>
      </c>
      <c r="C726" s="1" t="s">
        <v>1428</v>
      </c>
      <c r="D726" s="4">
        <v>52000</v>
      </c>
      <c r="E726" s="4">
        <v>58000</v>
      </c>
      <c r="F726" s="4">
        <v>55000</v>
      </c>
      <c r="G726" s="1" t="s">
        <v>1195</v>
      </c>
      <c r="H726" t="s">
        <v>1441</v>
      </c>
      <c r="I726" s="1" t="s">
        <v>1196</v>
      </c>
      <c r="J726" s="1" t="s">
        <v>780</v>
      </c>
      <c r="K726" s="1" t="s">
        <v>549</v>
      </c>
      <c r="L726" s="1" t="s">
        <v>550</v>
      </c>
      <c r="M726" s="1" t="s">
        <v>54</v>
      </c>
      <c r="N726" s="1" t="s">
        <v>551</v>
      </c>
      <c r="O726" s="1" t="s">
        <v>91</v>
      </c>
      <c r="P726">
        <v>43</v>
      </c>
      <c r="Q726" s="1">
        <v>0</v>
      </c>
      <c r="R726" s="1">
        <v>0</v>
      </c>
      <c r="S726" s="1">
        <v>0</v>
      </c>
      <c r="T726" s="1">
        <v>1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 t="s">
        <v>71</v>
      </c>
      <c r="AH726" s="1" t="str">
        <f t="shared" si="11"/>
        <v>Jr</v>
      </c>
      <c r="AI726" t="s">
        <v>34</v>
      </c>
      <c r="AJ726" s="4">
        <v>55</v>
      </c>
      <c r="AK726" s="1">
        <f>Table1[[#This Row],[avg_salary]]*1000</f>
        <v>55000</v>
      </c>
    </row>
    <row r="727" spans="1:37" x14ac:dyDescent="0.3">
      <c r="A727" s="1">
        <v>938</v>
      </c>
      <c r="B727" s="1" t="s">
        <v>552</v>
      </c>
      <c r="C727" s="1" t="s">
        <v>1033</v>
      </c>
      <c r="D727" s="4">
        <v>80000</v>
      </c>
      <c r="E727" s="4">
        <v>155000</v>
      </c>
      <c r="F727" s="4">
        <v>117500</v>
      </c>
      <c r="G727" s="1" t="s">
        <v>1359</v>
      </c>
      <c r="H727" t="s">
        <v>1458</v>
      </c>
      <c r="I727" s="1" t="s">
        <v>1271</v>
      </c>
      <c r="J727" s="1" t="s">
        <v>780</v>
      </c>
      <c r="K727" s="1" t="s">
        <v>157</v>
      </c>
      <c r="L727" s="1" t="s">
        <v>158</v>
      </c>
      <c r="M727" s="1" t="s">
        <v>84</v>
      </c>
      <c r="N727" s="1" t="s">
        <v>519</v>
      </c>
      <c r="O727" s="1" t="s">
        <v>259</v>
      </c>
      <c r="P727">
        <v>35</v>
      </c>
      <c r="Q727" s="1">
        <v>0</v>
      </c>
      <c r="R727" s="1">
        <v>0</v>
      </c>
      <c r="S727" s="1">
        <v>0</v>
      </c>
      <c r="T727" s="1">
        <v>1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 t="s">
        <v>71</v>
      </c>
      <c r="AH727" s="1" t="str">
        <f t="shared" si="11"/>
        <v>Sr</v>
      </c>
      <c r="AI727" t="s">
        <v>34</v>
      </c>
      <c r="AJ727" s="4">
        <v>117.5</v>
      </c>
      <c r="AK727" s="1">
        <f>Table1[[#This Row],[avg_salary]]*1000</f>
        <v>117500</v>
      </c>
    </row>
    <row r="728" spans="1:37" x14ac:dyDescent="0.3">
      <c r="A728" s="1">
        <v>939</v>
      </c>
      <c r="B728" s="1" t="s">
        <v>553</v>
      </c>
      <c r="C728" s="1" t="s">
        <v>1034</v>
      </c>
      <c r="D728" s="4">
        <v>43000</v>
      </c>
      <c r="E728" s="4">
        <v>98000</v>
      </c>
      <c r="F728" s="4">
        <v>70500</v>
      </c>
      <c r="G728" s="1" t="s">
        <v>1235</v>
      </c>
      <c r="H728" t="s">
        <v>1439</v>
      </c>
      <c r="I728" s="1" t="s">
        <v>1189</v>
      </c>
      <c r="J728" s="1" t="s">
        <v>780</v>
      </c>
      <c r="K728" s="1" t="s">
        <v>89</v>
      </c>
      <c r="L728" s="1" t="s">
        <v>89</v>
      </c>
      <c r="M728" s="1" t="s">
        <v>30</v>
      </c>
      <c r="N728" s="1" t="s">
        <v>554</v>
      </c>
      <c r="O728" s="1" t="s">
        <v>67</v>
      </c>
      <c r="P728">
        <v>25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 t="s">
        <v>71</v>
      </c>
      <c r="AH728" s="1" t="str">
        <f t="shared" si="11"/>
        <v>Jr</v>
      </c>
      <c r="AI728" t="s">
        <v>34</v>
      </c>
      <c r="AJ728" s="4">
        <v>70.5</v>
      </c>
      <c r="AK728" s="1">
        <f>Table1[[#This Row],[avg_salary]]*1000</f>
        <v>70500</v>
      </c>
    </row>
    <row r="729" spans="1:37" x14ac:dyDescent="0.3">
      <c r="A729" s="1">
        <v>940</v>
      </c>
      <c r="B729" s="1" t="s">
        <v>555</v>
      </c>
      <c r="C729" s="1" t="s">
        <v>1035</v>
      </c>
      <c r="D729" s="4">
        <v>45000</v>
      </c>
      <c r="E729" s="4">
        <v>78000</v>
      </c>
      <c r="F729" s="4">
        <v>61500</v>
      </c>
      <c r="G729" s="1" t="s">
        <v>1200</v>
      </c>
      <c r="H729" t="s">
        <v>1439</v>
      </c>
      <c r="I729" s="1" t="s">
        <v>1189</v>
      </c>
      <c r="J729" s="1" t="s">
        <v>780</v>
      </c>
      <c r="K729" s="1" t="s">
        <v>145</v>
      </c>
      <c r="L729" s="1" t="s">
        <v>74</v>
      </c>
      <c r="M729" s="1" t="s">
        <v>65</v>
      </c>
      <c r="N729" s="1" t="s">
        <v>556</v>
      </c>
      <c r="O729" s="1" t="s">
        <v>67</v>
      </c>
      <c r="P729">
        <v>41</v>
      </c>
      <c r="Q729" s="1">
        <v>0</v>
      </c>
      <c r="R729" s="1">
        <v>0</v>
      </c>
      <c r="S729" s="1">
        <v>0</v>
      </c>
      <c r="T729" s="1">
        <v>1</v>
      </c>
      <c r="U729" s="1">
        <v>1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 t="s">
        <v>295</v>
      </c>
      <c r="AH729" s="1" t="str">
        <f t="shared" si="11"/>
        <v>Jr</v>
      </c>
      <c r="AI729" t="s">
        <v>34</v>
      </c>
      <c r="AJ729" s="4">
        <v>61.5</v>
      </c>
      <c r="AK729" s="1">
        <f>Table1[[#This Row],[avg_salary]]*1000</f>
        <v>61500</v>
      </c>
    </row>
    <row r="730" spans="1:37" x14ac:dyDescent="0.3">
      <c r="A730" s="1">
        <v>941</v>
      </c>
      <c r="B730" s="1" t="s">
        <v>559</v>
      </c>
      <c r="C730" s="1" t="s">
        <v>1037</v>
      </c>
      <c r="D730" s="4">
        <v>50000</v>
      </c>
      <c r="E730" s="4">
        <v>110000</v>
      </c>
      <c r="F730" s="4">
        <v>80000</v>
      </c>
      <c r="G730" s="1" t="s">
        <v>1363</v>
      </c>
      <c r="H730" t="s">
        <v>1454</v>
      </c>
      <c r="I730" s="1" t="s">
        <v>1244</v>
      </c>
      <c r="J730" s="1" t="s">
        <v>780</v>
      </c>
      <c r="K730" s="1" t="s">
        <v>89</v>
      </c>
      <c r="L730" s="1" t="s">
        <v>89</v>
      </c>
      <c r="M730" s="1" t="s">
        <v>54</v>
      </c>
      <c r="N730" s="1" t="s">
        <v>558</v>
      </c>
      <c r="O730" s="1" t="s">
        <v>197</v>
      </c>
      <c r="P730">
        <v>27</v>
      </c>
      <c r="Q730" s="1">
        <v>0</v>
      </c>
      <c r="R730" s="1">
        <v>0</v>
      </c>
      <c r="S730" s="1">
        <v>0</v>
      </c>
      <c r="T730" s="1">
        <v>1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 t="s">
        <v>71</v>
      </c>
      <c r="AH730" s="1" t="str">
        <f t="shared" si="11"/>
        <v>Jr</v>
      </c>
      <c r="AI730" t="s">
        <v>34</v>
      </c>
      <c r="AJ730" s="4">
        <v>80</v>
      </c>
      <c r="AK730" s="1">
        <f>Table1[[#This Row],[avg_salary]]*1000</f>
        <v>80000</v>
      </c>
    </row>
    <row r="731" spans="1:37" x14ac:dyDescent="0.3">
      <c r="A731" s="1">
        <v>942</v>
      </c>
      <c r="B731" s="1" t="s">
        <v>557</v>
      </c>
      <c r="C731" s="1" t="s">
        <v>1036</v>
      </c>
      <c r="D731" s="4">
        <v>44000</v>
      </c>
      <c r="E731" s="4">
        <v>96000</v>
      </c>
      <c r="F731" s="4">
        <v>70000</v>
      </c>
      <c r="G731" s="1" t="s">
        <v>1362</v>
      </c>
      <c r="H731" t="s">
        <v>1183</v>
      </c>
      <c r="I731" s="1" t="s">
        <v>1184</v>
      </c>
      <c r="J731" s="1" t="s">
        <v>780</v>
      </c>
      <c r="K731" s="1" t="s">
        <v>89</v>
      </c>
      <c r="L731" s="1" t="s">
        <v>89</v>
      </c>
      <c r="M731" s="1" t="s">
        <v>54</v>
      </c>
      <c r="N731" s="1" t="s">
        <v>558</v>
      </c>
      <c r="O731" s="1" t="s">
        <v>56</v>
      </c>
      <c r="P731">
        <v>30</v>
      </c>
      <c r="Q731" s="1">
        <v>0</v>
      </c>
      <c r="R731" s="1">
        <v>0</v>
      </c>
      <c r="S731" s="1">
        <v>0</v>
      </c>
      <c r="T731" s="1">
        <v>1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 t="s">
        <v>71</v>
      </c>
      <c r="AH731" s="1" t="str">
        <f t="shared" si="11"/>
        <v>Jr</v>
      </c>
      <c r="AI731" t="s">
        <v>34</v>
      </c>
      <c r="AJ731" s="4">
        <v>70</v>
      </c>
      <c r="AK731" s="1">
        <f>Table1[[#This Row],[avg_salary]]*1000</f>
        <v>70000</v>
      </c>
    </row>
    <row r="732" spans="1:37" x14ac:dyDescent="0.3">
      <c r="A732" s="1">
        <v>943</v>
      </c>
      <c r="B732" s="1" t="s">
        <v>562</v>
      </c>
      <c r="C732" s="1" t="s">
        <v>1420</v>
      </c>
      <c r="D732" s="4">
        <v>100000</v>
      </c>
      <c r="E732" s="4">
        <v>140000</v>
      </c>
      <c r="F732" s="4">
        <v>120000</v>
      </c>
      <c r="G732" s="1" t="s">
        <v>1195</v>
      </c>
      <c r="H732" t="s">
        <v>1441</v>
      </c>
      <c r="I732" s="1" t="s">
        <v>1196</v>
      </c>
      <c r="J732" s="1" t="s">
        <v>780</v>
      </c>
      <c r="K732" s="1" t="s">
        <v>89</v>
      </c>
      <c r="L732" s="1" t="s">
        <v>74</v>
      </c>
      <c r="M732" s="1" t="s">
        <v>54</v>
      </c>
      <c r="N732" s="1" t="s">
        <v>563</v>
      </c>
      <c r="O732" s="1" t="s">
        <v>91</v>
      </c>
      <c r="P732">
        <v>54</v>
      </c>
      <c r="Q732" s="1">
        <v>0</v>
      </c>
      <c r="R732" s="1">
        <v>0</v>
      </c>
      <c r="S732" s="1">
        <v>0</v>
      </c>
      <c r="T732" s="1">
        <v>1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 t="s">
        <v>71</v>
      </c>
      <c r="AH732" s="1" t="str">
        <f t="shared" si="11"/>
        <v>Sr</v>
      </c>
      <c r="AI732" t="s">
        <v>72</v>
      </c>
      <c r="AJ732" s="4">
        <v>120</v>
      </c>
      <c r="AK732" s="1">
        <f>Table1[[#This Row],[avg_salary]]*1000</f>
        <v>120000</v>
      </c>
    </row>
    <row r="733" spans="1:37" x14ac:dyDescent="0.3">
      <c r="A733" s="1">
        <v>944</v>
      </c>
      <c r="B733" s="1" t="s">
        <v>560</v>
      </c>
      <c r="C733" s="1" t="s">
        <v>1038</v>
      </c>
      <c r="D733" s="4">
        <v>61000</v>
      </c>
      <c r="E733" s="4">
        <v>119000</v>
      </c>
      <c r="F733" s="4">
        <v>90000</v>
      </c>
      <c r="G733" s="1" t="s">
        <v>1364</v>
      </c>
      <c r="H733" t="s">
        <v>1441</v>
      </c>
      <c r="I733" s="1" t="s">
        <v>1196</v>
      </c>
      <c r="J733" s="1" t="s">
        <v>780</v>
      </c>
      <c r="K733" s="1" t="s">
        <v>108</v>
      </c>
      <c r="L733" s="1" t="s">
        <v>109</v>
      </c>
      <c r="M733" s="1" t="s">
        <v>44</v>
      </c>
      <c r="N733" s="1" t="s">
        <v>561</v>
      </c>
      <c r="O733" s="1" t="s">
        <v>91</v>
      </c>
      <c r="P733">
        <v>45</v>
      </c>
      <c r="Q733" s="1">
        <v>0</v>
      </c>
      <c r="R733" s="1">
        <v>1</v>
      </c>
      <c r="S733" s="1">
        <v>0</v>
      </c>
      <c r="T733" s="1">
        <v>1</v>
      </c>
      <c r="U733" s="1">
        <v>1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 t="s">
        <v>98</v>
      </c>
      <c r="AH733" s="1" t="str">
        <f t="shared" si="11"/>
        <v>Jr</v>
      </c>
      <c r="AI733" t="s">
        <v>72</v>
      </c>
      <c r="AJ733" s="4">
        <v>90</v>
      </c>
      <c r="AK733" s="1">
        <f>Table1[[#This Row],[avg_salary]]*1000</f>
        <v>90000</v>
      </c>
    </row>
    <row r="734" spans="1:37" x14ac:dyDescent="0.3">
      <c r="A734" s="1">
        <v>945</v>
      </c>
      <c r="B734" s="1" t="s">
        <v>778</v>
      </c>
      <c r="C734" s="1" t="s">
        <v>1172</v>
      </c>
      <c r="D734" s="4">
        <v>80000</v>
      </c>
      <c r="E734" s="4">
        <v>142000</v>
      </c>
      <c r="F734" s="4">
        <v>111000</v>
      </c>
      <c r="G734" s="1" t="s">
        <v>1239</v>
      </c>
      <c r="H734" t="s">
        <v>1439</v>
      </c>
      <c r="I734" s="1" t="s">
        <v>1189</v>
      </c>
      <c r="J734" s="1" t="s">
        <v>780</v>
      </c>
      <c r="K734" s="1" t="s">
        <v>1481</v>
      </c>
      <c r="L734" s="1" t="s">
        <v>255</v>
      </c>
      <c r="M734" s="1" t="s">
        <v>54</v>
      </c>
      <c r="N734" s="1" t="s">
        <v>481</v>
      </c>
      <c r="O734" s="1" t="s">
        <v>67</v>
      </c>
      <c r="P734">
        <v>56</v>
      </c>
      <c r="Q734" s="1">
        <v>1</v>
      </c>
      <c r="R734" s="1">
        <v>0</v>
      </c>
      <c r="S734" s="1">
        <v>1</v>
      </c>
      <c r="T734" s="1">
        <v>1</v>
      </c>
      <c r="U734" s="1">
        <v>0</v>
      </c>
      <c r="V734" s="1">
        <v>0</v>
      </c>
      <c r="W734" s="1">
        <v>0</v>
      </c>
      <c r="X734" s="1">
        <v>1</v>
      </c>
      <c r="Y734" s="1">
        <v>0</v>
      </c>
      <c r="Z734" s="1">
        <v>1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 t="s">
        <v>306</v>
      </c>
      <c r="AH734" s="1" t="str">
        <f t="shared" si="11"/>
        <v>Jr</v>
      </c>
      <c r="AI734" t="s">
        <v>72</v>
      </c>
      <c r="AJ734" s="4">
        <v>111</v>
      </c>
      <c r="AK734" s="1">
        <f>Table1[[#This Row],[avg_salary]]*1000</f>
        <v>111000</v>
      </c>
    </row>
    <row r="735" spans="1:37" x14ac:dyDescent="0.3">
      <c r="A735" s="1">
        <v>946</v>
      </c>
      <c r="B735" s="1" t="s">
        <v>264</v>
      </c>
      <c r="C735" s="1" t="s">
        <v>1126</v>
      </c>
      <c r="D735" s="4">
        <v>99000</v>
      </c>
      <c r="E735" s="4">
        <v>178000</v>
      </c>
      <c r="F735" s="4">
        <v>138500</v>
      </c>
      <c r="G735" s="1" t="s">
        <v>1200</v>
      </c>
      <c r="H735" t="s">
        <v>1439</v>
      </c>
      <c r="I735" s="1" t="s">
        <v>1189</v>
      </c>
      <c r="J735" s="1" t="s">
        <v>781</v>
      </c>
      <c r="K735" s="1" t="s">
        <v>145</v>
      </c>
      <c r="L735" s="1" t="s">
        <v>74</v>
      </c>
      <c r="M735" s="1" t="s">
        <v>54</v>
      </c>
      <c r="N735" s="1" t="s">
        <v>705</v>
      </c>
      <c r="O735" s="1" t="s">
        <v>67</v>
      </c>
      <c r="P735">
        <v>28</v>
      </c>
      <c r="Q735" s="1">
        <v>1</v>
      </c>
      <c r="R735" s="1">
        <v>0</v>
      </c>
      <c r="S735" s="1">
        <v>0</v>
      </c>
      <c r="T735" s="1">
        <v>0</v>
      </c>
      <c r="U735" s="1">
        <v>1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 t="s">
        <v>88</v>
      </c>
      <c r="AH735" s="1" t="str">
        <f t="shared" si="11"/>
        <v>Sr</v>
      </c>
      <c r="AI735" t="s">
        <v>34</v>
      </c>
      <c r="AJ735" s="4">
        <v>138.5</v>
      </c>
      <c r="AK735" s="1">
        <f>Table1[[#This Row],[avg_salary]]*1000</f>
        <v>138500</v>
      </c>
    </row>
    <row r="736" spans="1:37" x14ac:dyDescent="0.3">
      <c r="A736" s="1">
        <v>947</v>
      </c>
      <c r="B736" s="1" t="s">
        <v>708</v>
      </c>
      <c r="C736" s="1" t="s">
        <v>1128</v>
      </c>
      <c r="D736" s="4">
        <v>37000</v>
      </c>
      <c r="E736" s="4">
        <v>100000</v>
      </c>
      <c r="F736" s="4">
        <v>68500</v>
      </c>
      <c r="G736" s="1" t="s">
        <v>1231</v>
      </c>
      <c r="H736" t="s">
        <v>1441</v>
      </c>
      <c r="I736" s="1" t="s">
        <v>1196</v>
      </c>
      <c r="J736" s="1" t="s">
        <v>780</v>
      </c>
      <c r="K736" s="1" t="s">
        <v>108</v>
      </c>
      <c r="L736" s="1" t="s">
        <v>109</v>
      </c>
      <c r="M736" s="1" t="s">
        <v>84</v>
      </c>
      <c r="N736" s="1" t="s">
        <v>338</v>
      </c>
      <c r="O736" s="1" t="s">
        <v>91</v>
      </c>
      <c r="P736">
        <v>31</v>
      </c>
      <c r="Q736" s="1">
        <v>0</v>
      </c>
      <c r="R736" s="1">
        <v>0</v>
      </c>
      <c r="S736" s="1">
        <v>0</v>
      </c>
      <c r="T736" s="1">
        <v>1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 t="s">
        <v>33</v>
      </c>
      <c r="AH736" s="1" t="str">
        <f t="shared" si="11"/>
        <v>Jr</v>
      </c>
      <c r="AI736" t="s">
        <v>34</v>
      </c>
      <c r="AJ736" s="4">
        <v>68.5</v>
      </c>
      <c r="AK736" s="1">
        <f>Table1[[#This Row],[avg_salary]]*1000</f>
        <v>68500</v>
      </c>
    </row>
    <row r="737" spans="1:37" x14ac:dyDescent="0.3">
      <c r="A737" s="1">
        <v>948</v>
      </c>
      <c r="B737" s="1" t="s">
        <v>150</v>
      </c>
      <c r="C737" s="1" t="s">
        <v>1173</v>
      </c>
      <c r="D737" s="4">
        <v>62000</v>
      </c>
      <c r="E737" s="4">
        <v>113000</v>
      </c>
      <c r="F737" s="4">
        <v>87500</v>
      </c>
      <c r="G737" s="1" t="s">
        <v>1200</v>
      </c>
      <c r="H737" t="s">
        <v>1439</v>
      </c>
      <c r="I737" s="1" t="s">
        <v>1189</v>
      </c>
      <c r="J737" s="1" t="s">
        <v>780</v>
      </c>
      <c r="K737" s="1" t="s">
        <v>73</v>
      </c>
      <c r="L737" s="1" t="s">
        <v>74</v>
      </c>
      <c r="M737" s="1" t="s">
        <v>44</v>
      </c>
      <c r="N737" s="1" t="s">
        <v>779</v>
      </c>
      <c r="O737" s="1" t="s">
        <v>67</v>
      </c>
      <c r="P737">
        <v>59</v>
      </c>
      <c r="Q737" s="1">
        <v>1</v>
      </c>
      <c r="R737" s="1">
        <v>0</v>
      </c>
      <c r="S737" s="1">
        <v>1</v>
      </c>
      <c r="T737" s="1">
        <v>1</v>
      </c>
      <c r="U737" s="1">
        <v>1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 t="s">
        <v>98</v>
      </c>
      <c r="AH737" s="1" t="str">
        <f t="shared" si="11"/>
        <v>Jr</v>
      </c>
      <c r="AI737" t="s">
        <v>72</v>
      </c>
      <c r="AJ737" s="4">
        <v>87.5</v>
      </c>
      <c r="AK737" s="1">
        <f>Table1[[#This Row],[avg_salary]]*1000</f>
        <v>87500</v>
      </c>
    </row>
    <row r="738" spans="1:37" x14ac:dyDescent="0.3">
      <c r="A738" s="1">
        <v>949</v>
      </c>
      <c r="B738" s="1" t="s">
        <v>706</v>
      </c>
      <c r="C738" s="1" t="s">
        <v>1127</v>
      </c>
      <c r="D738" s="4">
        <v>86000</v>
      </c>
      <c r="E738" s="4">
        <v>137000</v>
      </c>
      <c r="F738" s="4">
        <v>111500</v>
      </c>
      <c r="G738" s="1" t="s">
        <v>1392</v>
      </c>
      <c r="H738" t="s">
        <v>1453</v>
      </c>
      <c r="I738" s="1" t="s">
        <v>1241</v>
      </c>
      <c r="J738" s="1" t="s">
        <v>781</v>
      </c>
      <c r="K738" s="1" t="s">
        <v>89</v>
      </c>
      <c r="L738" s="1" t="s">
        <v>89</v>
      </c>
      <c r="M738" s="1" t="s">
        <v>39</v>
      </c>
      <c r="N738" s="1" t="s">
        <v>707</v>
      </c>
      <c r="O738" s="1" t="s">
        <v>194</v>
      </c>
      <c r="P738">
        <v>52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 t="s">
        <v>33</v>
      </c>
      <c r="AH738" s="1" t="str">
        <f t="shared" si="11"/>
        <v>Jr</v>
      </c>
      <c r="AI738" t="s">
        <v>34</v>
      </c>
      <c r="AJ738" s="4">
        <v>111.5</v>
      </c>
      <c r="AK738" s="1">
        <f>Table1[[#This Row],[avg_salary]]*1000</f>
        <v>111500</v>
      </c>
    </row>
    <row r="739" spans="1:37" x14ac:dyDescent="0.3">
      <c r="A739" s="1">
        <v>950</v>
      </c>
      <c r="B739" s="1" t="s">
        <v>709</v>
      </c>
      <c r="C739" s="1" t="s">
        <v>1129</v>
      </c>
      <c r="D739" s="4">
        <v>58000</v>
      </c>
      <c r="E739" s="4">
        <v>111000</v>
      </c>
      <c r="F739" s="4">
        <v>84500</v>
      </c>
      <c r="G739" s="1" t="s">
        <v>1195</v>
      </c>
      <c r="H739" t="s">
        <v>1441</v>
      </c>
      <c r="I739" s="1" t="s">
        <v>1196</v>
      </c>
      <c r="J739" s="1" t="s">
        <v>781</v>
      </c>
      <c r="K739" s="1" t="s">
        <v>89</v>
      </c>
      <c r="L739" s="1" t="s">
        <v>89</v>
      </c>
      <c r="M739" s="1" t="s">
        <v>84</v>
      </c>
      <c r="N739" s="1" t="s">
        <v>689</v>
      </c>
      <c r="O739" s="1" t="s">
        <v>91</v>
      </c>
      <c r="P739">
        <v>37</v>
      </c>
      <c r="Q739" s="1">
        <v>0</v>
      </c>
      <c r="R739" s="1">
        <v>0</v>
      </c>
      <c r="S739" s="1">
        <v>1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 t="s">
        <v>71</v>
      </c>
      <c r="AH739" s="1" t="str">
        <f t="shared" si="11"/>
        <v>Jr</v>
      </c>
      <c r="AI739" t="s">
        <v>34</v>
      </c>
      <c r="AJ739" s="4">
        <v>84.5</v>
      </c>
      <c r="AK739" s="1">
        <f>Table1[[#This Row],[avg_salary]]*1000</f>
        <v>84500</v>
      </c>
    </row>
    <row r="740" spans="1:37" x14ac:dyDescent="0.3">
      <c r="A740" s="1">
        <v>951</v>
      </c>
      <c r="B740" s="1" t="s">
        <v>282</v>
      </c>
      <c r="C740" s="1" t="s">
        <v>1130</v>
      </c>
      <c r="D740" s="4">
        <v>72000</v>
      </c>
      <c r="E740" s="4">
        <v>133000</v>
      </c>
      <c r="F740" s="4">
        <v>102500</v>
      </c>
      <c r="G740" s="1" t="s">
        <v>1328</v>
      </c>
      <c r="H740" t="s">
        <v>1463</v>
      </c>
      <c r="I740" s="1" t="s">
        <v>1295</v>
      </c>
      <c r="J740" s="1" t="s">
        <v>781</v>
      </c>
      <c r="K740" s="1" t="s">
        <v>73</v>
      </c>
      <c r="L740" s="1" t="s">
        <v>74</v>
      </c>
      <c r="M740" s="1" t="s">
        <v>44</v>
      </c>
      <c r="N740" s="1" t="s">
        <v>447</v>
      </c>
      <c r="O740" s="1" t="s">
        <v>331</v>
      </c>
      <c r="P740">
        <v>44</v>
      </c>
      <c r="Q740" s="1">
        <v>1</v>
      </c>
      <c r="R740" s="1">
        <v>1</v>
      </c>
      <c r="S740" s="1">
        <v>1</v>
      </c>
      <c r="T740" s="1">
        <v>0</v>
      </c>
      <c r="U740" s="1">
        <v>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 t="s">
        <v>98</v>
      </c>
      <c r="AH740" s="1" t="str">
        <f t="shared" si="11"/>
        <v>Jr</v>
      </c>
      <c r="AI740" t="s">
        <v>72</v>
      </c>
      <c r="AJ740" s="4">
        <v>102.5</v>
      </c>
      <c r="AK740" s="1">
        <f>Table1[[#This Row],[avg_salary]]*1000</f>
        <v>102500</v>
      </c>
    </row>
    <row r="741" spans="1:37" x14ac:dyDescent="0.3">
      <c r="A741" s="1">
        <v>952</v>
      </c>
      <c r="B741" s="1" t="s">
        <v>564</v>
      </c>
      <c r="C741" s="1" t="s">
        <v>1039</v>
      </c>
      <c r="D741" s="4">
        <v>56000</v>
      </c>
      <c r="E741" s="4">
        <v>91000</v>
      </c>
      <c r="F741" s="4">
        <v>73500</v>
      </c>
      <c r="G741" s="1" t="s">
        <v>1252</v>
      </c>
      <c r="H741" t="s">
        <v>1453</v>
      </c>
      <c r="I741" s="1" t="s">
        <v>1241</v>
      </c>
      <c r="J741" s="1" t="s">
        <v>322</v>
      </c>
      <c r="K741" s="1" t="s">
        <v>323</v>
      </c>
      <c r="L741" s="1" t="s">
        <v>255</v>
      </c>
      <c r="M741" s="1" t="s">
        <v>54</v>
      </c>
      <c r="N741" s="1" t="s">
        <v>324</v>
      </c>
      <c r="O741" s="1" t="s">
        <v>194</v>
      </c>
      <c r="P741">
        <v>51</v>
      </c>
      <c r="Q741" s="1">
        <v>0</v>
      </c>
      <c r="R741" s="1">
        <v>0</v>
      </c>
      <c r="S741" s="1">
        <v>0</v>
      </c>
      <c r="T741" s="1">
        <v>1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 t="s">
        <v>71</v>
      </c>
      <c r="AH741" s="1" t="str">
        <f t="shared" si="11"/>
        <v>Jr</v>
      </c>
      <c r="AI741" t="s">
        <v>72</v>
      </c>
      <c r="AJ741" s="4">
        <v>73.5</v>
      </c>
      <c r="AK741" s="1">
        <f>Table1[[#This Row],[avg_salary]]*1000</f>
        <v>73500</v>
      </c>
    </row>
    <row r="742" spans="1:37" x14ac:dyDescent="0.3">
      <c r="A742" s="1">
        <v>953</v>
      </c>
      <c r="B742" s="1" t="s">
        <v>712</v>
      </c>
      <c r="C742" s="1" t="s">
        <v>1132</v>
      </c>
      <c r="D742" s="4">
        <v>95000</v>
      </c>
      <c r="E742" s="4">
        <v>160000</v>
      </c>
      <c r="F742" s="4">
        <v>127500</v>
      </c>
      <c r="G742" s="1" t="s">
        <v>1393</v>
      </c>
      <c r="H742" t="s">
        <v>1453</v>
      </c>
      <c r="I742" s="1" t="s">
        <v>1241</v>
      </c>
      <c r="J742" s="1" t="s">
        <v>780</v>
      </c>
      <c r="K742" s="1" t="s">
        <v>200</v>
      </c>
      <c r="L742" s="1" t="s">
        <v>43</v>
      </c>
      <c r="M742" s="1" t="s">
        <v>201</v>
      </c>
      <c r="N742" s="1" t="s">
        <v>202</v>
      </c>
      <c r="O742" s="1" t="s">
        <v>194</v>
      </c>
      <c r="P742">
        <v>24</v>
      </c>
      <c r="Q742" s="1">
        <v>0</v>
      </c>
      <c r="R742" s="1">
        <v>0</v>
      </c>
      <c r="S742" s="1">
        <v>0</v>
      </c>
      <c r="T742" s="1">
        <v>1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 t="s">
        <v>33</v>
      </c>
      <c r="AH742" s="1" t="str">
        <f t="shared" si="11"/>
        <v>Sr</v>
      </c>
      <c r="AI742" t="s">
        <v>34</v>
      </c>
      <c r="AJ742" s="4">
        <v>127.5</v>
      </c>
      <c r="AK742" s="1">
        <f>Table1[[#This Row],[avg_salary]]*1000</f>
        <v>127500</v>
      </c>
    </row>
    <row r="743" spans="1:37" x14ac:dyDescent="0.3">
      <c r="A743" s="1">
        <v>955</v>
      </c>
      <c r="B743" s="1" t="s">
        <v>710</v>
      </c>
      <c r="C743" s="1" t="s">
        <v>1131</v>
      </c>
      <c r="D743" s="4">
        <v>61000</v>
      </c>
      <c r="E743" s="4">
        <v>126000</v>
      </c>
      <c r="F743" s="4">
        <v>93500</v>
      </c>
      <c r="G743" s="1" t="s">
        <v>1227</v>
      </c>
      <c r="H743" t="s">
        <v>1450</v>
      </c>
      <c r="I743" s="1" t="s">
        <v>1228</v>
      </c>
      <c r="J743" s="1" t="s">
        <v>107</v>
      </c>
      <c r="K743" s="1" t="s">
        <v>246</v>
      </c>
      <c r="L743" s="1" t="s">
        <v>47</v>
      </c>
      <c r="M743" s="1" t="s">
        <v>30</v>
      </c>
      <c r="N743" s="1" t="s">
        <v>711</v>
      </c>
      <c r="O743" s="1" t="s">
        <v>168</v>
      </c>
      <c r="P743">
        <v>37</v>
      </c>
      <c r="Q743" s="1">
        <v>1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 t="s">
        <v>71</v>
      </c>
      <c r="AH743" s="1" t="str">
        <f t="shared" si="11"/>
        <v>Jr</v>
      </c>
      <c r="AI743" t="s">
        <v>34</v>
      </c>
      <c r="AJ743" s="4">
        <v>93.5</v>
      </c>
      <c r="AK743" s="1">
        <f>Table1[[#This Row],[avg_salary]]*1000</f>
        <v>93500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01DE8-F6FD-419F-B1B4-DFB9CFE77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Medhakshi Pandya</dc:creator>
  <cp:lastModifiedBy>akshar panchal</cp:lastModifiedBy>
  <dcterms:created xsi:type="dcterms:W3CDTF">2025-11-06T19:48:14Z</dcterms:created>
  <dcterms:modified xsi:type="dcterms:W3CDTF">2025-12-18T10:27:18Z</dcterms:modified>
</cp:coreProperties>
</file>